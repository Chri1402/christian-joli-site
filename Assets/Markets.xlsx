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ianjoli/Desktop/"/>
    </mc:Choice>
  </mc:AlternateContent>
  <xr:revisionPtr revIDLastSave="0" documentId="8_{0C4AA7BF-D931-8940-B093-5CE2CB2845DF}" xr6:coauthVersionLast="47" xr6:coauthVersionMax="47" xr10:uidLastSave="{00000000-0000-0000-0000-000000000000}"/>
  <bookViews>
    <workbookView xWindow="1180" yWindow="740" windowWidth="27620" windowHeight="17260" xr2:uid="{C8207EF4-6D81-481A-B7D1-613DB11D7EB9}"/>
  </bookViews>
  <sheets>
    <sheet name="Assignment 2" sheetId="8" r:id="rId1"/>
    <sheet name="Main Data" sheetId="1" r:id="rId2"/>
  </sheets>
  <definedNames>
    <definedName name="solver_adj" localSheetId="0" hidden="1">'Assignment 2'!$B$99:$B$104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itr" localSheetId="0" hidden="1">2147483647</definedName>
    <definedName name="solver_lhs1" localSheetId="0" hidden="1">'Assignment 2'!$B$106</definedName>
    <definedName name="solver_lhs2" localSheetId="0" hidden="1">'Assignment 2'!$C$56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1</definedName>
    <definedName name="solver_opt" localSheetId="0" hidden="1">'Assignment 2'!$B$108</definedName>
    <definedName name="solver_pre" localSheetId="0" hidden="1">0.000001</definedName>
    <definedName name="solver_rbv" localSheetId="0" hidden="1">1</definedName>
    <definedName name="solver_rel1" localSheetId="0" hidden="1">2</definedName>
    <definedName name="solver_rel2" localSheetId="0" hidden="1">2</definedName>
    <definedName name="solver_rhs1" localSheetId="0" hidden="1">1</definedName>
    <definedName name="solver_rhs2" localSheetId="0" hidden="1">'Assignment 2'!$C$57</definedName>
    <definedName name="solver_rlx" localSheetId="0" hidden="1">1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9" i="8" l="1"/>
  <c r="C153" i="8"/>
  <c r="A17" i="8" a="1"/>
  <c r="G19" i="8"/>
  <c r="H19" i="8"/>
  <c r="I19" i="8"/>
  <c r="J19" i="8"/>
  <c r="K19" i="8"/>
  <c r="L19" i="8"/>
  <c r="G20" i="8"/>
  <c r="H20" i="8"/>
  <c r="I20" i="8"/>
  <c r="J20" i="8"/>
  <c r="K20" i="8"/>
  <c r="L20" i="8"/>
  <c r="G21" i="8"/>
  <c r="H21" i="8"/>
  <c r="I21" i="8"/>
  <c r="J21" i="8"/>
  <c r="K21" i="8"/>
  <c r="L21" i="8"/>
  <c r="G22" i="8"/>
  <c r="H22" i="8"/>
  <c r="I22" i="8"/>
  <c r="J22" i="8"/>
  <c r="K22" i="8"/>
  <c r="L22" i="8"/>
  <c r="G23" i="8"/>
  <c r="H23" i="8"/>
  <c r="I23" i="8"/>
  <c r="J23" i="8"/>
  <c r="K23" i="8"/>
  <c r="L23" i="8"/>
  <c r="G24" i="8"/>
  <c r="H24" i="8"/>
  <c r="I24" i="8"/>
  <c r="J24" i="8"/>
  <c r="K24" i="8"/>
  <c r="L24" i="8"/>
  <c r="G25" i="8"/>
  <c r="H25" i="8"/>
  <c r="I25" i="8"/>
  <c r="J25" i="8"/>
  <c r="K25" i="8"/>
  <c r="L25" i="8"/>
  <c r="F19" i="8"/>
  <c r="F20" i="8"/>
  <c r="F21" i="8"/>
  <c r="F22" i="8"/>
  <c r="F23" i="8"/>
  <c r="F24" i="8"/>
  <c r="F25" i="8"/>
  <c r="D21" i="8"/>
  <c r="D22" i="8" s="1"/>
  <c r="D23" i="8" s="1"/>
  <c r="D24" i="8" s="1"/>
  <c r="D25" i="8" s="1"/>
  <c r="D20" i="8"/>
  <c r="D19" i="8"/>
  <c r="H17" i="8"/>
  <c r="I17" i="8" s="1"/>
  <c r="J17" i="8" s="1"/>
  <c r="K17" i="8" s="1"/>
  <c r="L17" i="8" s="1"/>
  <c r="G17" i="8"/>
  <c r="C155" i="8" a="1"/>
  <c r="C14" i="8"/>
  <c r="D14" i="8"/>
  <c r="E14" i="8"/>
  <c r="F14" i="8"/>
  <c r="G14" i="8"/>
  <c r="H14" i="8"/>
  <c r="B14" i="8"/>
  <c r="H13" i="8"/>
  <c r="K127" i="8" s="1"/>
  <c r="G13" i="8"/>
  <c r="J127" i="8" s="1"/>
  <c r="F13" i="8"/>
  <c r="I127" i="8" s="1"/>
  <c r="E13" i="8"/>
  <c r="H127" i="8" s="1"/>
  <c r="D13" i="8"/>
  <c r="G127" i="8" s="1"/>
  <c r="C13" i="8"/>
  <c r="B13" i="8"/>
  <c r="E116" i="8" a="1"/>
  <c r="U57" i="8"/>
  <c r="M57" i="8"/>
  <c r="J57" i="8"/>
  <c r="T57" i="8" s="1"/>
  <c r="U52" i="8"/>
  <c r="M52" i="8"/>
  <c r="N52" i="8"/>
  <c r="O52" i="8"/>
  <c r="P52" i="8"/>
  <c r="Q52" i="8"/>
  <c r="R52" i="8"/>
  <c r="S52" i="8"/>
  <c r="T52" i="8"/>
  <c r="D57" i="8"/>
  <c r="B106" i="8"/>
  <c r="C52" i="8"/>
  <c r="D52" i="8"/>
  <c r="E52" i="8"/>
  <c r="F52" i="8"/>
  <c r="G52" i="8"/>
  <c r="H52" i="8"/>
  <c r="I52" i="8"/>
  <c r="J52" i="8"/>
  <c r="K52" i="8"/>
  <c r="B52" i="8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O3" i="1"/>
  <c r="M3" i="1"/>
  <c r="K3" i="1"/>
  <c r="I3" i="1"/>
  <c r="G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3" i="1"/>
  <c r="A17" i="8" l="1"/>
  <c r="A18" i="8"/>
  <c r="A19" i="8"/>
  <c r="A20" i="8"/>
  <c r="A21" i="8"/>
  <c r="A22" i="8"/>
  <c r="A23" i="8"/>
  <c r="C54" i="8" a="1"/>
  <c r="C54" i="8" s="1"/>
  <c r="C56" i="8" s="1"/>
  <c r="U54" i="8" a="1"/>
  <c r="U54" i="8" s="1"/>
  <c r="U56" i="8" s="1"/>
  <c r="P54" i="8" a="1"/>
  <c r="P54" i="8" s="1"/>
  <c r="P56" i="8" s="1"/>
  <c r="T54" i="8" a="1"/>
  <c r="T54" i="8" s="1"/>
  <c r="T56" i="8" s="1"/>
  <c r="F54" i="8" a="1"/>
  <c r="F54" i="8" s="1"/>
  <c r="F56" i="8" s="1"/>
  <c r="B109" i="8" a="1"/>
  <c r="B109" i="8" s="1"/>
  <c r="B111" i="8" s="1"/>
  <c r="N54" i="8" a="1"/>
  <c r="N54" i="8" s="1"/>
  <c r="N56" i="8" s="1"/>
  <c r="S54" i="8" a="1"/>
  <c r="S54" i="8" s="1"/>
  <c r="S56" i="8" s="1"/>
  <c r="H54" i="8" a="1"/>
  <c r="H54" i="8" s="1"/>
  <c r="H56" i="8" s="1"/>
  <c r="I54" i="8" a="1"/>
  <c r="I54" i="8" s="1"/>
  <c r="I56" i="8" s="1"/>
  <c r="B28" i="8" a="1"/>
  <c r="B28" i="8" s="1"/>
  <c r="B30" i="8" s="1"/>
  <c r="O54" i="8" a="1"/>
  <c r="O54" i="8" s="1"/>
  <c r="O56" i="8" s="1"/>
  <c r="R54" i="8" a="1"/>
  <c r="R54" i="8" s="1"/>
  <c r="R56" i="8" s="1"/>
  <c r="D54" i="8" a="1"/>
  <c r="D54" i="8" s="1"/>
  <c r="D56" i="8" s="1"/>
  <c r="J54" i="8" a="1"/>
  <c r="J54" i="8" s="1"/>
  <c r="J56" i="8" s="1"/>
  <c r="B54" i="8" a="1"/>
  <c r="B54" i="8" s="1"/>
  <c r="B56" i="8" s="1"/>
  <c r="M54" i="8" a="1"/>
  <c r="M54" i="8" s="1"/>
  <c r="M56" i="8" s="1"/>
  <c r="Q54" i="8" a="1"/>
  <c r="Q54" i="8" s="1"/>
  <c r="Q56" i="8" s="1"/>
  <c r="K54" i="8" a="1"/>
  <c r="K54" i="8" s="1"/>
  <c r="K56" i="8" s="1"/>
  <c r="G54" i="8" a="1"/>
  <c r="G54" i="8" s="1"/>
  <c r="G56" i="8" s="1"/>
  <c r="E117" i="8" a="1"/>
  <c r="E54" i="8" a="1"/>
  <c r="E54" i="8" s="1"/>
  <c r="E56" i="8" s="1"/>
  <c r="K55" i="8" a="1"/>
  <c r="K55" i="8" s="1"/>
  <c r="I55" i="8" a="1"/>
  <c r="I55" i="8" s="1"/>
  <c r="G55" i="8" a="1"/>
  <c r="G55" i="8" s="1"/>
  <c r="D55" i="8" a="1"/>
  <c r="D55" i="8" s="1"/>
  <c r="B55" i="8" a="1"/>
  <c r="B55" i="8" s="1"/>
  <c r="T55" i="8" a="1"/>
  <c r="T55" i="8" s="1"/>
  <c r="F127" i="8"/>
  <c r="J55" i="8" a="1"/>
  <c r="J55" i="8" s="1"/>
  <c r="H55" i="8" a="1"/>
  <c r="H55" i="8" s="1"/>
  <c r="E55" i="8" a="1"/>
  <c r="E55" i="8" s="1"/>
  <c r="F55" i="8" a="1"/>
  <c r="F55" i="8" s="1"/>
  <c r="B29" i="8" a="1"/>
  <c r="B29" i="8" s="1"/>
  <c r="B110" i="8" a="1"/>
  <c r="B110" i="8" s="1"/>
  <c r="C55" i="8" a="1"/>
  <c r="C55" i="8" s="1"/>
  <c r="E127" i="8"/>
  <c r="U55" i="8" a="1"/>
  <c r="U55" i="8" s="1"/>
  <c r="M55" i="8" a="1"/>
  <c r="M55" i="8" s="1"/>
  <c r="N55" i="8" a="1"/>
  <c r="N55" i="8" s="1"/>
  <c r="O55" i="8" a="1"/>
  <c r="O55" i="8" s="1"/>
  <c r="P55" i="8" a="1"/>
  <c r="P55" i="8" s="1"/>
  <c r="Q55" i="8" a="1"/>
  <c r="Q55" i="8" s="1"/>
  <c r="R55" i="8" a="1"/>
  <c r="R55" i="8" s="1"/>
  <c r="S55" i="8" a="1"/>
  <c r="S55" i="8" s="1"/>
  <c r="E116" i="8"/>
  <c r="F126" i="8"/>
  <c r="D173" i="8" s="1"/>
  <c r="G126" i="8"/>
  <c r="E173" i="8" s="1"/>
  <c r="H126" i="8"/>
  <c r="F173" i="8" s="1"/>
  <c r="I126" i="8"/>
  <c r="G173" i="8" s="1"/>
  <c r="J126" i="8"/>
  <c r="H173" i="8" s="1"/>
  <c r="K126" i="8"/>
  <c r="I173" i="8" s="1"/>
  <c r="N57" i="8"/>
  <c r="E57" i="8"/>
  <c r="B24" i="8"/>
  <c r="B108" i="8" l="1"/>
  <c r="C161" i="8" s="1"/>
  <c r="F108" i="8"/>
  <c r="F110" i="8"/>
  <c r="F111" i="8"/>
  <c r="F109" i="8"/>
  <c r="F112" i="8"/>
  <c r="K120" i="8"/>
  <c r="E117" i="8"/>
  <c r="E129" i="8" s="1" a="1"/>
  <c r="E118" i="8"/>
  <c r="F118" i="8"/>
  <c r="G118" i="8"/>
  <c r="H118" i="8"/>
  <c r="I118" i="8"/>
  <c r="J118" i="8"/>
  <c r="K118" i="8"/>
  <c r="E119" i="8"/>
  <c r="F119" i="8"/>
  <c r="G119" i="8"/>
  <c r="H119" i="8"/>
  <c r="I119" i="8"/>
  <c r="J119" i="8"/>
  <c r="K119" i="8"/>
  <c r="E120" i="8"/>
  <c r="F120" i="8"/>
  <c r="G120" i="8"/>
  <c r="H120" i="8"/>
  <c r="I120" i="8"/>
  <c r="J120" i="8"/>
  <c r="J117" i="8"/>
  <c r="E121" i="8"/>
  <c r="F121" i="8"/>
  <c r="G121" i="8"/>
  <c r="H121" i="8"/>
  <c r="I121" i="8"/>
  <c r="J121" i="8"/>
  <c r="K121" i="8"/>
  <c r="E122" i="8"/>
  <c r="F122" i="8"/>
  <c r="G122" i="8"/>
  <c r="H122" i="8"/>
  <c r="I122" i="8"/>
  <c r="J122" i="8"/>
  <c r="K122" i="8"/>
  <c r="E123" i="8"/>
  <c r="F123" i="8"/>
  <c r="G123" i="8"/>
  <c r="H123" i="8"/>
  <c r="I123" i="8"/>
  <c r="J123" i="8"/>
  <c r="K123" i="8"/>
  <c r="I117" i="8"/>
  <c r="H117" i="8"/>
  <c r="G117" i="8"/>
  <c r="F117" i="8"/>
  <c r="K117" i="8"/>
  <c r="E111" i="8"/>
  <c r="E112" i="8"/>
  <c r="E108" i="8"/>
  <c r="E109" i="8"/>
  <c r="E110" i="8"/>
  <c r="D117" i="8" a="1"/>
  <c r="D117" i="8" s="1"/>
  <c r="E126" i="8"/>
  <c r="C173" i="8" s="1"/>
  <c r="O57" i="8"/>
  <c r="F57" i="8"/>
  <c r="I129" i="8" l="1"/>
  <c r="E129" i="8"/>
  <c r="K129" i="8"/>
  <c r="J129" i="8"/>
  <c r="H129" i="8"/>
  <c r="F129" i="8"/>
  <c r="G129" i="8"/>
  <c r="P57" i="8"/>
  <c r="G57" i="8"/>
  <c r="G131" i="8" l="1"/>
  <c r="E131" i="8"/>
  <c r="K131" i="8"/>
  <c r="H131" i="8"/>
  <c r="I131" i="8"/>
  <c r="J131" i="8"/>
  <c r="F131" i="8"/>
  <c r="Q57" i="8"/>
  <c r="H57" i="8"/>
  <c r="G155" i="8" l="1"/>
  <c r="I155" i="8"/>
  <c r="H155" i="8"/>
  <c r="E155" i="8"/>
  <c r="C155" i="8"/>
  <c r="D155" i="8"/>
  <c r="F155" i="8"/>
  <c r="D133" i="8"/>
  <c r="D134" i="8" a="1"/>
  <c r="D134" i="8" s="1"/>
  <c r="C158" i="8" s="1"/>
  <c r="R57" i="8"/>
  <c r="I57" i="8"/>
  <c r="S57" i="8" s="1"/>
  <c r="M131" i="8"/>
  <c r="D135" i="8" l="1"/>
  <c r="C159" i="8" s="1"/>
  <c r="C166" i="8"/>
  <c r="C174" i="8" s="1"/>
  <c r="F174" i="8" l="1"/>
  <c r="C167" i="8"/>
  <c r="D136" i="8"/>
  <c r="C171" i="8"/>
  <c r="E174" i="8"/>
  <c r="I174" i="8"/>
  <c r="G174" i="8"/>
  <c r="H174" i="8"/>
  <c r="D174" i="8"/>
  <c r="C177" i="8" l="1"/>
  <c r="J174" i="8"/>
  <c r="J175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<sst xmlns="http://schemas.openxmlformats.org/spreadsheetml/2006/main" count="122" uniqueCount="80">
  <si>
    <t>NVIDIA</t>
  </si>
  <si>
    <t>MICROSOFT</t>
  </si>
  <si>
    <t>APPLE</t>
  </si>
  <si>
    <t>AMAZON.COM</t>
  </si>
  <si>
    <t>ALPHABET 'A'</t>
  </si>
  <si>
    <t>JOHNSON &amp; JOHNSON</t>
  </si>
  <si>
    <t>COCA COLA</t>
  </si>
  <si>
    <t xml:space="preserve">Average Arithmetic Return </t>
  </si>
  <si>
    <t xml:space="preserve">Standartdeviation </t>
  </si>
  <si>
    <t>Return Nvidia</t>
  </si>
  <si>
    <t>Return Microsoft</t>
  </si>
  <si>
    <t>Return Apple</t>
  </si>
  <si>
    <t>Return Amazon</t>
  </si>
  <si>
    <t xml:space="preserve">Return Johnson &amp; Johnson </t>
  </si>
  <si>
    <t>Return Alphabet</t>
  </si>
  <si>
    <t>Return Coca Cola</t>
  </si>
  <si>
    <t>Name</t>
  </si>
  <si>
    <t>Variance</t>
  </si>
  <si>
    <t>Monthly risk-free rate</t>
  </si>
  <si>
    <t>Weights</t>
  </si>
  <si>
    <t>1)</t>
  </si>
  <si>
    <t>2)</t>
  </si>
  <si>
    <t>Variance Portfolio</t>
  </si>
  <si>
    <t>Expected return Portfoli</t>
  </si>
  <si>
    <t>Standard Deviation Portfolio</t>
  </si>
  <si>
    <t>From Assignment 1 Question 4</t>
  </si>
  <si>
    <t>SUM</t>
  </si>
  <si>
    <t>Weights 2</t>
  </si>
  <si>
    <t>Weights 3</t>
  </si>
  <si>
    <t>Weights 4</t>
  </si>
  <si>
    <t>Weights 5</t>
  </si>
  <si>
    <t>Weights 6</t>
  </si>
  <si>
    <t>Weights 7</t>
  </si>
  <si>
    <t>Weights 8</t>
  </si>
  <si>
    <t>Weights 9</t>
  </si>
  <si>
    <t>Weights 10</t>
  </si>
  <si>
    <t>Sharpe Ratio</t>
  </si>
  <si>
    <t>3)</t>
  </si>
  <si>
    <t>Weight</t>
  </si>
  <si>
    <t>Return</t>
  </si>
  <si>
    <t>St.dev</t>
  </si>
  <si>
    <t>MIN VAR</t>
  </si>
  <si>
    <t>Weights 11</t>
  </si>
  <si>
    <t>Weights 12</t>
  </si>
  <si>
    <t>Target st.dev</t>
  </si>
  <si>
    <t>Weights 13</t>
  </si>
  <si>
    <t>Weights 14</t>
  </si>
  <si>
    <t>Weights 15</t>
  </si>
  <si>
    <t>Weights 16</t>
  </si>
  <si>
    <t>Weights 17</t>
  </si>
  <si>
    <t>Weights 18</t>
  </si>
  <si>
    <t>Weights 19</t>
  </si>
  <si>
    <t xml:space="preserve">Weights </t>
  </si>
  <si>
    <t>Capital allocation line</t>
  </si>
  <si>
    <t>Excess returns</t>
  </si>
  <si>
    <t>Z-weights</t>
  </si>
  <si>
    <t>X-weights</t>
  </si>
  <si>
    <t>Expected Return</t>
  </si>
  <si>
    <t>Port expected return</t>
  </si>
  <si>
    <t>CAL</t>
  </si>
  <si>
    <t>Risk Aversion</t>
  </si>
  <si>
    <t>Weight Risk Port</t>
  </si>
  <si>
    <t>Weight Risk Free</t>
  </si>
  <si>
    <t>Exp. Return</t>
  </si>
  <si>
    <t>St. Dev</t>
  </si>
  <si>
    <t>Sum</t>
  </si>
  <si>
    <t>Utility</t>
  </si>
  <si>
    <t>Sharpe ratio</t>
  </si>
  <si>
    <t>Risk free rate</t>
  </si>
  <si>
    <t>MINIMIZING RETURN</t>
  </si>
  <si>
    <t>MAXIMAZING RETURN</t>
  </si>
  <si>
    <t>E(R) = 0.005 + 37,24 * σ</t>
  </si>
  <si>
    <t>Inverse Covariance matrix</t>
  </si>
  <si>
    <t>With solver</t>
  </si>
  <si>
    <t>With Matrices</t>
  </si>
  <si>
    <t>4)</t>
  </si>
  <si>
    <t>Variance Market</t>
  </si>
  <si>
    <t>St.dev Market</t>
  </si>
  <si>
    <t>WITH SOLVER</t>
  </si>
  <si>
    <t>Covariance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</si>
</sst>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00"/>
    <numFmt numFmtId="165" formatCode="0.000%"/>
    <numFmt numFmtId="166" formatCode="0.000\ %"/>
    <numFmt numFmtId="167" formatCode="_-* #,##0.0000_-;\-* #,##0.0000_-;_-* &quot;-&quot;??_-;_-@_-"/>
    <numFmt numFmtId="168" formatCode="0.0000\ %"/>
    <numFmt numFmtId="169" formatCode="0.00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4"/>
      <color theme="1"/>
      <name val="Aptos Narrow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Aptos Narrow (Body)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4">
    <xf numFmtId="0" fontId="0" fillId="0" borderId="0" xfId="0"/>
    <xf numFmtId="14" fontId="0" fillId="0" borderId="0" xfId="0" applyNumberFormat="1"/>
    <xf numFmtId="0" fontId="0" fillId="0" borderId="0" xfId="0" quotePrefix="1"/>
    <xf numFmtId="0" fontId="3" fillId="0" borderId="0" xfId="0" applyFont="1"/>
    <xf numFmtId="0" fontId="0" fillId="2" borderId="0" xfId="0" quotePrefix="1" applyFill="1"/>
    <xf numFmtId="0" fontId="0" fillId="2" borderId="0" xfId="0" applyFill="1"/>
    <xf numFmtId="0" fontId="3" fillId="0" borderId="0" xfId="0" quotePrefix="1" applyFont="1"/>
    <xf numFmtId="164" fontId="0" fillId="0" borderId="1" xfId="0" applyNumberFormat="1" applyBorder="1"/>
    <xf numFmtId="9" fontId="0" fillId="0" borderId="0" xfId="0" applyNumberFormat="1"/>
    <xf numFmtId="164" fontId="0" fillId="0" borderId="0" xfId="0" applyNumberFormat="1"/>
    <xf numFmtId="164" fontId="2" fillId="0" borderId="1" xfId="0" applyNumberFormat="1" applyFont="1" applyBorder="1"/>
    <xf numFmtId="0" fontId="0" fillId="0" borderId="1" xfId="0" applyBorder="1"/>
    <xf numFmtId="165" fontId="0" fillId="0" borderId="1" xfId="1" applyNumberFormat="1" applyFont="1" applyBorder="1"/>
    <xf numFmtId="0" fontId="4" fillId="0" borderId="0" xfId="0" applyFont="1"/>
    <xf numFmtId="0" fontId="5" fillId="0" borderId="0" xfId="0" applyFont="1"/>
    <xf numFmtId="10" fontId="0" fillId="0" borderId="0" xfId="0" applyNumberFormat="1"/>
    <xf numFmtId="9" fontId="0" fillId="0" borderId="1" xfId="1" applyFont="1" applyFill="1" applyBorder="1"/>
    <xf numFmtId="0" fontId="4" fillId="0" borderId="3" xfId="0" applyFont="1" applyBorder="1"/>
    <xf numFmtId="166" fontId="0" fillId="0" borderId="0" xfId="1" applyNumberFormat="1" applyFont="1"/>
    <xf numFmtId="166" fontId="0" fillId="0" borderId="1" xfId="1" applyNumberFormat="1" applyFont="1" applyBorder="1"/>
    <xf numFmtId="166" fontId="0" fillId="0" borderId="1" xfId="0" applyNumberFormat="1" applyBorder="1"/>
    <xf numFmtId="166" fontId="0" fillId="0" borderId="4" xfId="1" applyNumberFormat="1" applyFont="1" applyBorder="1"/>
    <xf numFmtId="166" fontId="0" fillId="0" borderId="5" xfId="1" applyNumberFormat="1" applyFont="1" applyBorder="1"/>
    <xf numFmtId="166" fontId="0" fillId="0" borderId="6" xfId="1" applyNumberFormat="1" applyFont="1" applyBorder="1"/>
    <xf numFmtId="0" fontId="4" fillId="3" borderId="7" xfId="0" applyFont="1" applyFill="1" applyBorder="1"/>
    <xf numFmtId="0" fontId="0" fillId="0" borderId="8" xfId="0" applyBorder="1"/>
    <xf numFmtId="0" fontId="0" fillId="0" borderId="9" xfId="0" applyBorder="1"/>
    <xf numFmtId="166" fontId="0" fillId="0" borderId="10" xfId="1" applyNumberFormat="1" applyFont="1" applyBorder="1"/>
    <xf numFmtId="166" fontId="0" fillId="0" borderId="0" xfId="1" applyNumberFormat="1" applyFont="1" applyBorder="1"/>
    <xf numFmtId="166" fontId="0" fillId="0" borderId="11" xfId="1" applyNumberFormat="1" applyFont="1" applyBorder="1"/>
    <xf numFmtId="166" fontId="0" fillId="0" borderId="12" xfId="1" applyNumberFormat="1" applyFont="1" applyBorder="1"/>
    <xf numFmtId="166" fontId="0" fillId="0" borderId="3" xfId="1" applyNumberFormat="1" applyFont="1" applyBorder="1"/>
    <xf numFmtId="166" fontId="0" fillId="0" borderId="13" xfId="1" applyNumberFormat="1" applyFont="1" applyBorder="1"/>
    <xf numFmtId="164" fontId="0" fillId="0" borderId="7" xfId="0" applyNumberFormat="1" applyBorder="1"/>
    <xf numFmtId="164" fontId="0" fillId="0" borderId="8" xfId="0" applyNumberFormat="1" applyBorder="1"/>
    <xf numFmtId="164" fontId="0" fillId="0" borderId="9" xfId="0" applyNumberFormat="1" applyBorder="1"/>
    <xf numFmtId="0" fontId="0" fillId="0" borderId="12" xfId="0" applyBorder="1"/>
    <xf numFmtId="166" fontId="0" fillId="0" borderId="3" xfId="0" applyNumberFormat="1" applyBorder="1"/>
    <xf numFmtId="166" fontId="0" fillId="0" borderId="13" xfId="0" applyNumberFormat="1" applyBorder="1"/>
    <xf numFmtId="164" fontId="0" fillId="0" borderId="5" xfId="0" applyNumberFormat="1" applyBorder="1"/>
    <xf numFmtId="0" fontId="0" fillId="0" borderId="7" xfId="0" applyBorder="1"/>
    <xf numFmtId="166" fontId="0" fillId="0" borderId="0" xfId="0" applyNumberFormat="1"/>
    <xf numFmtId="168" fontId="0" fillId="0" borderId="0" xfId="0" applyNumberFormat="1"/>
    <xf numFmtId="166" fontId="0" fillId="0" borderId="2" xfId="0" applyNumberFormat="1" applyBorder="1"/>
    <xf numFmtId="0" fontId="0" fillId="0" borderId="3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2" xfId="0" applyBorder="1"/>
    <xf numFmtId="166" fontId="0" fillId="0" borderId="15" xfId="0" applyNumberFormat="1" applyBorder="1"/>
    <xf numFmtId="166" fontId="0" fillId="0" borderId="9" xfId="1" applyNumberFormat="1" applyFont="1" applyBorder="1"/>
    <xf numFmtId="167" fontId="0" fillId="0" borderId="11" xfId="2" applyNumberFormat="1" applyFont="1" applyBorder="1"/>
    <xf numFmtId="10" fontId="0" fillId="0" borderId="4" xfId="0" applyNumberFormat="1" applyBorder="1"/>
    <xf numFmtId="166" fontId="0" fillId="0" borderId="6" xfId="0" applyNumberFormat="1" applyBorder="1"/>
    <xf numFmtId="167" fontId="0" fillId="0" borderId="4" xfId="0" applyNumberFormat="1" applyBorder="1"/>
    <xf numFmtId="0" fontId="0" fillId="0" borderId="5" xfId="0" applyBorder="1"/>
    <xf numFmtId="0" fontId="4" fillId="0" borderId="1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166" fontId="0" fillId="0" borderId="2" xfId="1" applyNumberFormat="1" applyFont="1" applyBorder="1"/>
    <xf numFmtId="166" fontId="0" fillId="0" borderId="14" xfId="1" applyNumberFormat="1" applyFont="1" applyBorder="1"/>
    <xf numFmtId="166" fontId="0" fillId="0" borderId="15" xfId="1" applyNumberFormat="1" applyFont="1" applyBorder="1"/>
    <xf numFmtId="166" fontId="0" fillId="0" borderId="14" xfId="0" applyNumberForma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2" xfId="0" applyFont="1" applyBorder="1"/>
    <xf numFmtId="168" fontId="0" fillId="0" borderId="1" xfId="1" applyNumberFormat="1" applyFont="1" applyBorder="1"/>
    <xf numFmtId="168" fontId="0" fillId="0" borderId="1" xfId="0" applyNumberFormat="1" applyBorder="1"/>
    <xf numFmtId="164" fontId="0" fillId="0" borderId="4" xfId="0" applyNumberFormat="1" applyBorder="1"/>
    <xf numFmtId="0" fontId="0" fillId="0" borderId="4" xfId="0" applyBorder="1"/>
    <xf numFmtId="0" fontId="0" fillId="0" borderId="6" xfId="0" applyBorder="1"/>
    <xf numFmtId="169" fontId="0" fillId="3" borderId="1" xfId="0" applyNumberFormat="1" applyFill="1" applyBorder="1"/>
    <xf numFmtId="164" fontId="0" fillId="0" borderId="2" xfId="1" applyNumberFormat="1" applyFont="1" applyBorder="1"/>
    <xf numFmtId="164" fontId="0" fillId="0" borderId="14" xfId="1" applyNumberFormat="1" applyFont="1" applyBorder="1"/>
    <xf numFmtId="164" fontId="0" fillId="0" borderId="15" xfId="1" applyNumberFormat="1" applyFont="1" applyBorder="1"/>
    <xf numFmtId="169" fontId="0" fillId="0" borderId="1" xfId="1" applyNumberFormat="1" applyFont="1" applyBorder="1"/>
    <xf numFmtId="164" fontId="0" fillId="3" borderId="4" xfId="1" applyNumberFormat="1" applyFont="1" applyFill="1" applyBorder="1"/>
    <xf numFmtId="164" fontId="0" fillId="3" borderId="13" xfId="1" applyNumberFormat="1" applyFont="1" applyFill="1" applyBorder="1"/>
    <xf numFmtId="0" fontId="7" fillId="0" borderId="0" xfId="0" applyFont="1"/>
    <xf numFmtId="0" fontId="8" fillId="0" borderId="0" xfId="0" applyFont="1"/>
    <xf numFmtId="166" fontId="0" fillId="0" borderId="10" xfId="0" applyNumberFormat="1" applyBorder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Efficient Frontier</a:t>
            </a:r>
            <a:endParaRPr lang="en-US" sz="1600" b="1" baseline="0"/>
          </a:p>
        </c:rich>
      </c:tx>
      <c:layout>
        <c:manualLayout>
          <c:xMode val="edge"/>
          <c:yMode val="edge"/>
          <c:x val="0.46040384570362797"/>
          <c:y val="1.39737991266375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4042713838852339E-2"/>
          <c:y val="1.3402423499457777E-2"/>
          <c:w val="0.89589882017087508"/>
          <c:h val="0.87417316194851546"/>
        </c:manualLayout>
      </c:layout>
      <c:scatterChart>
        <c:scatterStyle val="smoothMarker"/>
        <c:varyColors val="0"/>
        <c:ser>
          <c:idx val="0"/>
          <c:order val="0"/>
          <c:tx>
            <c:v>Efficient frontier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'Assignment 2'!$B$56:$K$56</c:f>
              <c:numCache>
                <c:formatCode>0.000\ %</c:formatCode>
                <c:ptCount val="10"/>
                <c:pt idx="0">
                  <c:v>3.6153712840023507E-2</c:v>
                </c:pt>
                <c:pt idx="1">
                  <c:v>4.0000796397980327E-2</c:v>
                </c:pt>
                <c:pt idx="2">
                  <c:v>4.5000997252033624E-2</c:v>
                </c:pt>
                <c:pt idx="3">
                  <c:v>5.0000999446549232E-2</c:v>
                </c:pt>
                <c:pt idx="4">
                  <c:v>5.5000990349125478E-2</c:v>
                </c:pt>
                <c:pt idx="5">
                  <c:v>6.0000999924406634E-2</c:v>
                </c:pt>
                <c:pt idx="6">
                  <c:v>6.5000655047669761E-2</c:v>
                </c:pt>
                <c:pt idx="7">
                  <c:v>7.0000357391758486E-2</c:v>
                </c:pt>
                <c:pt idx="8">
                  <c:v>0.10000099812941371</c:v>
                </c:pt>
                <c:pt idx="9">
                  <c:v>0.12000096658502436</c:v>
                </c:pt>
              </c:numCache>
            </c:numRef>
          </c:xVal>
          <c:yVal>
            <c:numRef>
              <c:f>'Assignment 2'!$B$55:$K$55</c:f>
              <c:numCache>
                <c:formatCode>0.000\ %</c:formatCode>
                <c:ptCount val="10"/>
                <c:pt idx="0">
                  <c:v>8.9594351727543611E-3</c:v>
                </c:pt>
                <c:pt idx="1">
                  <c:v>1.3918127996283947E-2</c:v>
                </c:pt>
                <c:pt idx="2">
                  <c:v>1.6722147205935865E-2</c:v>
                </c:pt>
                <c:pt idx="3">
                  <c:v>1.8965738961819779E-2</c:v>
                </c:pt>
                <c:pt idx="4">
                  <c:v>2.0967323930931599E-2</c:v>
                </c:pt>
                <c:pt idx="5">
                  <c:v>2.2832007673509985E-2</c:v>
                </c:pt>
                <c:pt idx="6">
                  <c:v>2.4608814571239396E-2</c:v>
                </c:pt>
                <c:pt idx="7">
                  <c:v>2.6324604616986047E-2</c:v>
                </c:pt>
                <c:pt idx="8">
                  <c:v>3.5970330395112014E-2</c:v>
                </c:pt>
                <c:pt idx="9">
                  <c:v>4.2108788596537071E-2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57C-FE43-BD8B-18DFDD2C1ABD}"/>
            </c:ext>
          </c:extLst>
        </c:ser>
        <c:ser>
          <c:idx val="1"/>
          <c:order val="1"/>
          <c:tx>
            <c:v>Nvidia</c:v>
          </c:tx>
          <c:spPr>
            <a:ln w="25400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O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'Assignment 2'!$B$14</c:f>
              <c:numCache>
                <c:formatCode>0.000\ %</c:formatCode>
                <c:ptCount val="1"/>
                <c:pt idx="0">
                  <c:v>0.13054214206342996</c:v>
                </c:pt>
              </c:numCache>
            </c:numRef>
          </c:xVal>
          <c:yVal>
            <c:numRef>
              <c:f>'Assignment 2'!$B$13</c:f>
              <c:numCache>
                <c:formatCode>0.000\ %</c:formatCode>
                <c:ptCount val="1"/>
                <c:pt idx="0">
                  <c:v>4.1658202714180699E-2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57C-FE43-BD8B-18DFDD2C1ABD}"/>
            </c:ext>
          </c:extLst>
        </c:ser>
        <c:ser>
          <c:idx val="3"/>
          <c:order val="2"/>
          <c:tx>
            <c:v>Min var portfolio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'Assignment 2'!$B$56</c:f>
              <c:numCache>
                <c:formatCode>0.000\ %</c:formatCode>
                <c:ptCount val="1"/>
                <c:pt idx="0">
                  <c:v>3.6153712840023507E-2</c:v>
                </c:pt>
              </c:numCache>
            </c:numRef>
          </c:xVal>
          <c:yVal>
            <c:numRef>
              <c:f>'Assignment 2'!$B$55</c:f>
              <c:numCache>
                <c:formatCode>0.000\ %</c:formatCode>
                <c:ptCount val="1"/>
                <c:pt idx="0">
                  <c:v>8.9594351727543611E-3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57C-FE43-BD8B-18DFDD2C1ABD}"/>
            </c:ext>
          </c:extLst>
        </c:ser>
        <c:ser>
          <c:idx val="4"/>
          <c:order val="3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'Assignment 2'!$J$56</c:f>
              <c:numCache>
                <c:formatCode>0.000\ %</c:formatCode>
                <c:ptCount val="1"/>
                <c:pt idx="0">
                  <c:v>0.10000099812941371</c:v>
                </c:pt>
              </c:numCache>
            </c:numRef>
          </c:xVal>
          <c:yVal>
            <c:numRef>
              <c:f>'Assignment 2'!$J$55</c:f>
              <c:numCache>
                <c:formatCode>0.000\ %</c:formatCode>
                <c:ptCount val="1"/>
                <c:pt idx="0">
                  <c:v>3.5970330395112014E-2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57C-FE43-BD8B-18DFDD2C1ABD}"/>
            </c:ext>
          </c:extLst>
        </c:ser>
        <c:ser>
          <c:idx val="5"/>
          <c:order val="4"/>
          <c:tx>
            <c:v>CAL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'Assignment 2'!$F$108:$F$112</c:f>
              <c:numCache>
                <c:formatCode>0.000\ %</c:formatCode>
                <c:ptCount val="5"/>
                <c:pt idx="0">
                  <c:v>0</c:v>
                </c:pt>
                <c:pt idx="1">
                  <c:v>2.8769805342720212E-2</c:v>
                </c:pt>
                <c:pt idx="2">
                  <c:v>5.7539610685440425E-2</c:v>
                </c:pt>
                <c:pt idx="3">
                  <c:v>0.11507922137088085</c:v>
                </c:pt>
                <c:pt idx="4">
                  <c:v>0.14384902671360106</c:v>
                </c:pt>
              </c:numCache>
            </c:numRef>
          </c:xVal>
          <c:yVal>
            <c:numRef>
              <c:f>'Assignment 2'!$E$108:$E$112</c:f>
              <c:numCache>
                <c:formatCode>0.000\ %</c:formatCode>
                <c:ptCount val="5"/>
                <c:pt idx="0">
                  <c:v>5.0000000000000001E-4</c:v>
                </c:pt>
                <c:pt idx="1">
                  <c:v>1.1213717553286486E-2</c:v>
                </c:pt>
                <c:pt idx="2">
                  <c:v>2.1927435106572971E-2</c:v>
                </c:pt>
                <c:pt idx="3">
                  <c:v>4.3354870213145942E-2</c:v>
                </c:pt>
                <c:pt idx="4">
                  <c:v>5.4068587766432426E-2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57C-FE43-BD8B-18DFDD2C1ABD}"/>
            </c:ext>
          </c:extLst>
        </c:ser>
        <c:ser>
          <c:idx val="6"/>
          <c:order val="5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'Assignment 2'!$B$111</c:f>
              <c:numCache>
                <c:formatCode>0.000\ %</c:formatCode>
                <c:ptCount val="1"/>
                <c:pt idx="0">
                  <c:v>5.7539610685440425E-2</c:v>
                </c:pt>
              </c:numCache>
            </c:numRef>
          </c:xVal>
          <c:yVal>
            <c:numRef>
              <c:f>'Assignment 2'!$B$110</c:f>
              <c:numCache>
                <c:formatCode>0.000\ %</c:formatCode>
                <c:ptCount val="1"/>
                <c:pt idx="0">
                  <c:v>2.1927435106572971E-2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57C-FE43-BD8B-18DFDD2C1ABD}"/>
            </c:ext>
          </c:extLst>
        </c:ser>
        <c:ser>
          <c:idx val="7"/>
          <c:order val="6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'Assignment 2'!$K$56</c:f>
              <c:numCache>
                <c:formatCode>0.000\ %</c:formatCode>
                <c:ptCount val="1"/>
                <c:pt idx="0">
                  <c:v>0.12000096658502436</c:v>
                </c:pt>
              </c:numCache>
            </c:numRef>
          </c:xVal>
          <c:yVal>
            <c:numRef>
              <c:f>'Assignment 2'!$K$55</c:f>
              <c:numCache>
                <c:formatCode>0.000\ %</c:formatCode>
                <c:ptCount val="1"/>
                <c:pt idx="0">
                  <c:v>4.2108788596537071E-2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57C-FE43-BD8B-18DFDD2C1ABD}"/>
            </c:ext>
          </c:extLst>
        </c:ser>
        <c:ser>
          <c:idx val="8"/>
          <c:order val="7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'Assignment 2'!$N$56</c:f>
              <c:numCache>
                <c:formatCode>0.000\ %</c:formatCode>
                <c:ptCount val="1"/>
                <c:pt idx="0">
                  <c:v>4.500084139051868E-2</c:v>
                </c:pt>
              </c:numCache>
            </c:numRef>
          </c:xVal>
          <c:yVal>
            <c:numRef>
              <c:f>'Assignment 2'!$N$55</c:f>
              <c:numCache>
                <c:formatCode>0.000\ %</c:formatCode>
                <c:ptCount val="1"/>
                <c:pt idx="0">
                  <c:v>1.1969740040314427E-3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57C-FE43-BD8B-18DFDD2C1ABD}"/>
            </c:ext>
          </c:extLst>
        </c:ser>
        <c:ser>
          <c:idx val="9"/>
          <c:order val="8"/>
          <c:tx>
            <c:v>Efficien not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dPt>
            <c:idx val="6"/>
            <c:marker>
              <c:symbol val="circle"/>
              <c:size val="5"/>
              <c:spPr>
                <a:solidFill>
                  <a:schemeClr val="accent4">
                    <a:lumMod val="60000"/>
                  </a:schemeClr>
                </a:solidFill>
                <a:ln w="9525">
                  <a:solidFill>
                    <a:schemeClr val="accent4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857C-FE43-BD8B-18DFDD2C1ABD}"/>
              </c:ext>
            </c:extLst>
          </c:dPt>
          <c:xVal>
            <c:numRef>
              <c:f>('Assignment 2'!$B$56,'Assignment 2'!$M$56:$U$56)</c:f>
              <c:numCache>
                <c:formatCode>0.000\ %</c:formatCode>
                <c:ptCount val="10"/>
                <c:pt idx="0">
                  <c:v>3.6153712840023507E-2</c:v>
                </c:pt>
                <c:pt idx="1">
                  <c:v>4.0000999878007322E-2</c:v>
                </c:pt>
                <c:pt idx="2">
                  <c:v>4.500084139051868E-2</c:v>
                </c:pt>
                <c:pt idx="3">
                  <c:v>5.0000999564621743E-2</c:v>
                </c:pt>
                <c:pt idx="4">
                  <c:v>5.5000854456948516E-2</c:v>
                </c:pt>
                <c:pt idx="5">
                  <c:v>6.0000987137583603E-2</c:v>
                </c:pt>
                <c:pt idx="6">
                  <c:v>6.5000659909397573E-2</c:v>
                </c:pt>
                <c:pt idx="7">
                  <c:v>7.0000999499537878E-2</c:v>
                </c:pt>
                <c:pt idx="8">
                  <c:v>0.10000091916385979</c:v>
                </c:pt>
                <c:pt idx="9">
                  <c:v>0.12000098569573636</c:v>
                </c:pt>
              </c:numCache>
            </c:numRef>
          </c:xVal>
          <c:yVal>
            <c:numRef>
              <c:f>('Assignment 2'!$B$55,'Assignment 2'!$M$55:$U$55)</c:f>
              <c:numCache>
                <c:formatCode>0.000\ %</c:formatCode>
                <c:ptCount val="10"/>
                <c:pt idx="0">
                  <c:v>8.9594351727543611E-3</c:v>
                </c:pt>
                <c:pt idx="1">
                  <c:v>4.0006028675406728E-3</c:v>
                </c:pt>
                <c:pt idx="2">
                  <c:v>1.1969740040314427E-3</c:v>
                </c:pt>
                <c:pt idx="3">
                  <c:v>-1.0469340930715958E-3</c:v>
                </c:pt>
                <c:pt idx="4">
                  <c:v>-3.0484452913069988E-3</c:v>
                </c:pt>
                <c:pt idx="5">
                  <c:v>-4.9131426927054595E-3</c:v>
                </c:pt>
                <c:pt idx="6">
                  <c:v>-6.6899241006203401E-3</c:v>
                </c:pt>
                <c:pt idx="7">
                  <c:v>-8.4059148081402218E-3</c:v>
                </c:pt>
                <c:pt idx="8">
                  <c:v>-1.8051638816294055E-2</c:v>
                </c:pt>
                <c:pt idx="9">
                  <c:v>-2.4189912440580177E-2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57C-FE43-BD8B-18DFDD2C1ABD}"/>
            </c:ext>
          </c:extLst>
        </c:ser>
        <c:ser>
          <c:idx val="10"/>
          <c:order val="9"/>
          <c:tx>
            <c:v>Apple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O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'Assignment 2'!$D$14</c:f>
              <c:numCache>
                <c:formatCode>0.000\ %</c:formatCode>
                <c:ptCount val="1"/>
                <c:pt idx="0">
                  <c:v>7.664297894492772E-2</c:v>
                </c:pt>
              </c:numCache>
            </c:numRef>
          </c:xVal>
          <c:yVal>
            <c:numRef>
              <c:f>'Assignment 2'!$D$13</c:f>
              <c:numCache>
                <c:formatCode>0.000\ %</c:formatCode>
                <c:ptCount val="1"/>
                <c:pt idx="0">
                  <c:v>2.1382857462406753E-2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857C-FE43-BD8B-18DFDD2C1ABD}"/>
            </c:ext>
          </c:extLst>
        </c:ser>
        <c:ser>
          <c:idx val="11"/>
          <c:order val="10"/>
          <c:tx>
            <c:v>Amazon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57C-FE43-BD8B-18DFDD2C1A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O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'Assignment 2'!$E$14</c:f>
              <c:numCache>
                <c:formatCode>0.000\ %</c:formatCode>
                <c:ptCount val="1"/>
                <c:pt idx="0">
                  <c:v>8.590161121490833E-2</c:v>
                </c:pt>
              </c:numCache>
            </c:numRef>
          </c:xVal>
          <c:yVal>
            <c:numRef>
              <c:f>'Assignment 2'!$E$13</c:f>
              <c:numCache>
                <c:formatCode>0.000\ %</c:formatCode>
                <c:ptCount val="1"/>
                <c:pt idx="0">
                  <c:v>2.3228866314178042E-2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857C-FE43-BD8B-18DFDD2C1ABD}"/>
            </c:ext>
          </c:extLst>
        </c:ser>
        <c:ser>
          <c:idx val="12"/>
          <c:order val="11"/>
          <c:tx>
            <c:v>Johnson &amp; Johnson</c:v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5461419049351769E-2"/>
                  <c:y val="-2.6110229917480122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57C-FE43-BD8B-18DFDD2C1A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O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'Assignment 2'!$F$14</c:f>
              <c:numCache>
                <c:formatCode>0.000\ %</c:formatCode>
                <c:ptCount val="1"/>
                <c:pt idx="0">
                  <c:v>4.4096798517441853E-2</c:v>
                </c:pt>
              </c:numCache>
            </c:numRef>
          </c:xVal>
          <c:yVal>
            <c:numRef>
              <c:f>'Assignment 2'!$F$13</c:f>
              <c:numCache>
                <c:formatCode>0.000\ %</c:formatCode>
                <c:ptCount val="1"/>
                <c:pt idx="0">
                  <c:v>6.1560787697085024E-3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857C-FE43-BD8B-18DFDD2C1ABD}"/>
            </c:ext>
          </c:extLst>
        </c:ser>
        <c:ser>
          <c:idx val="13"/>
          <c:order val="12"/>
          <c:tx>
            <c:v>Alphabet</c:v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Lbl>
              <c:idx val="0"/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57C-FE43-BD8B-18DFDD2C1A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O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'Assignment 2'!$G$14</c:f>
              <c:numCache>
                <c:formatCode>0.000\ %</c:formatCode>
                <c:ptCount val="1"/>
                <c:pt idx="0">
                  <c:v>7.1216157445071399E-2</c:v>
                </c:pt>
              </c:numCache>
            </c:numRef>
          </c:xVal>
          <c:yVal>
            <c:numRef>
              <c:f>'Assignment 2'!$G$13</c:f>
              <c:numCache>
                <c:formatCode>0.000\ %</c:formatCode>
                <c:ptCount val="1"/>
                <c:pt idx="0">
                  <c:v>1.6955930642505862E-2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857C-FE43-BD8B-18DFDD2C1ABD}"/>
            </c:ext>
          </c:extLst>
        </c:ser>
        <c:ser>
          <c:idx val="14"/>
          <c:order val="13"/>
          <c:tx>
            <c:v>Coca Cola</c:v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O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'Assignment 2'!$H$14</c:f>
              <c:numCache>
                <c:formatCode>0.000\ %</c:formatCode>
                <c:ptCount val="1"/>
                <c:pt idx="0">
                  <c:v>4.3890976037379174E-2</c:v>
                </c:pt>
              </c:numCache>
            </c:numRef>
          </c:xVal>
          <c:yVal>
            <c:numRef>
              <c:f>'Assignment 2'!$H$13</c:f>
              <c:numCache>
                <c:formatCode>0.000\ %</c:formatCode>
                <c:ptCount val="1"/>
                <c:pt idx="0">
                  <c:v>5.9154237764436216E-3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857C-FE43-BD8B-18DFDD2C1ABD}"/>
            </c:ext>
          </c:extLst>
        </c:ser>
        <c:ser>
          <c:idx val="2"/>
          <c:order val="14"/>
          <c:tx>
            <c:v>Microsoft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091936908132472E-3"/>
                  <c:y val="-1.6720553147496091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57C-FE43-BD8B-18DFDD2C1A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O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'Assignment 2'!$C$14</c:f>
              <c:numCache>
                <c:formatCode>0.000\ %</c:formatCode>
                <c:ptCount val="1"/>
                <c:pt idx="0">
                  <c:v>6.2629544536358855E-2</c:v>
                </c:pt>
              </c:numCache>
            </c:numRef>
          </c:xVal>
          <c:yVal>
            <c:numRef>
              <c:f>'Assignment 2'!$C$13</c:f>
              <c:numCache>
                <c:formatCode>0.000\ %</c:formatCode>
                <c:ptCount val="1"/>
                <c:pt idx="0">
                  <c:v>1.7852502363475867E-2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857C-FE43-BD8B-18DFDD2C1ABD}"/>
            </c:ext>
          </c:extLst>
        </c:ser>
        <c:ser>
          <c:idx val="15"/>
          <c:order val="15"/>
          <c:tx>
            <c:v>Max sharpe</c:v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'Assignment 2'!$B$111</c:f>
              <c:numCache>
                <c:formatCode>0.000\ %</c:formatCode>
                <c:ptCount val="1"/>
                <c:pt idx="0">
                  <c:v>5.7539610685440425E-2</c:v>
                </c:pt>
              </c:numCache>
            </c:numRef>
          </c:xVal>
          <c:yVal>
            <c:numRef>
              <c:f>'Assignment 2'!$B$110</c:f>
              <c:numCache>
                <c:formatCode>0.000\ %</c:formatCode>
                <c:ptCount val="1"/>
                <c:pt idx="0">
                  <c:v>2.1927435106572971E-2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0F1-8247-A19C-B5D13673D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368640"/>
        <c:axId val="1061370352"/>
      </c:scatterChart>
      <c:valAx>
        <c:axId val="1061368640"/>
        <c:scaling>
          <c:orientation val="minMax"/>
          <c:max val="0.1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Standard Deviation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O"/>
            </a:p>
          </c:txPr>
        </c:title>
        <c:numFmt formatCode="0.000\ 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O"/>
          </a:p>
        </c:txPr>
        <c:crossAx val="1061370352"/>
        <c:crosses val="autoZero"/>
        <c:crossBetween val="midCat"/>
      </c:valAx>
      <c:valAx>
        <c:axId val="1061370352"/>
        <c:scaling>
          <c:orientation val="minMax"/>
          <c:max val="0.06"/>
          <c:min val="-0.0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O"/>
            </a:p>
          </c:txPr>
        </c:title>
        <c:numFmt formatCode="0.000\ 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O"/>
          </a:p>
        </c:txPr>
        <c:crossAx val="1061368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chart" Target="../charts/chart1.xml"/><Relationship Id="rId4" Type="http://schemas.openxmlformats.org/officeDocument/2006/relationships/image" Target="../media/image4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0</xdr:rowOff>
    </xdr:from>
    <xdr:to>
      <xdr:col>5</xdr:col>
      <xdr:colOff>292841</xdr:colOff>
      <xdr:row>3</xdr:row>
      <xdr:rowOff>1308100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DC8EFC-F2C4-672F-C544-979A472B5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0"/>
          <a:ext cx="7494579" cy="275590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381000</xdr:colOff>
      <xdr:row>32</xdr:row>
      <xdr:rowOff>63500</xdr:rowOff>
    </xdr:from>
    <xdr:to>
      <xdr:col>5</xdr:col>
      <xdr:colOff>748812</xdr:colOff>
      <xdr:row>40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23B6ED-F499-5721-A9B5-770DA54DC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0" y="9436100"/>
          <a:ext cx="7609883" cy="1612900"/>
        </a:xfrm>
        <a:prstGeom prst="rect">
          <a:avLst/>
        </a:prstGeom>
      </xdr:spPr>
    </xdr:pic>
    <xdr:clientData/>
  </xdr:twoCellAnchor>
  <xdr:twoCellAnchor editAs="oneCell">
    <xdr:from>
      <xdr:col>2</xdr:col>
      <xdr:colOff>118605</xdr:colOff>
      <xdr:row>95</xdr:row>
      <xdr:rowOff>120327</xdr:rowOff>
    </xdr:from>
    <xdr:to>
      <xdr:col>8</xdr:col>
      <xdr:colOff>230130</xdr:colOff>
      <xdr:row>103</xdr:row>
      <xdr:rowOff>55140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EBD5941-0BA6-953A-E85D-20793AC0D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30105" y="11347127"/>
          <a:ext cx="7516462" cy="1460069"/>
        </a:xfrm>
        <a:prstGeom prst="rect">
          <a:avLst/>
        </a:prstGeom>
      </xdr:spPr>
    </xdr:pic>
    <xdr:clientData/>
  </xdr:twoCellAnchor>
  <xdr:twoCellAnchor editAs="oneCell">
    <xdr:from>
      <xdr:col>6</xdr:col>
      <xdr:colOff>1036046</xdr:colOff>
      <xdr:row>105</xdr:row>
      <xdr:rowOff>160241</xdr:rowOff>
    </xdr:from>
    <xdr:to>
      <xdr:col>10</xdr:col>
      <xdr:colOff>241211</xdr:colOff>
      <xdr:row>112</xdr:row>
      <xdr:rowOff>183331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E4410C2-0A37-475A-A953-622B3393E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42200" y="23704087"/>
          <a:ext cx="3489670" cy="1390783"/>
        </a:xfrm>
        <a:prstGeom prst="rect">
          <a:avLst/>
        </a:prstGeom>
      </xdr:spPr>
    </xdr:pic>
    <xdr:clientData/>
  </xdr:twoCellAnchor>
  <xdr:twoCellAnchor>
    <xdr:from>
      <xdr:col>0</xdr:col>
      <xdr:colOff>749300</xdr:colOff>
      <xdr:row>59</xdr:row>
      <xdr:rowOff>31750</xdr:rowOff>
    </xdr:from>
    <xdr:to>
      <xdr:col>12</xdr:col>
      <xdr:colOff>580124</xdr:colOff>
      <xdr:row>94</xdr:row>
      <xdr:rowOff>141111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3358BDC0-FFB1-5044-49FC-3159CB0E94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1351936</xdr:colOff>
      <xdr:row>136</xdr:row>
      <xdr:rowOff>68279</xdr:rowOff>
    </xdr:from>
    <xdr:to>
      <xdr:col>5</xdr:col>
      <xdr:colOff>721512</xdr:colOff>
      <xdr:row>150</xdr:row>
      <xdr:rowOff>73021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27284F5-C1AA-1A08-FFDB-797081D23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51936" y="29469462"/>
          <a:ext cx="6609462" cy="2681301"/>
        </a:xfrm>
        <a:prstGeom prst="rect">
          <a:avLst/>
        </a:prstGeom>
      </xdr:spPr>
    </xdr:pic>
    <xdr:clientData/>
  </xdr:twoCellAnchor>
  <xdr:twoCellAnchor editAs="oneCell">
    <xdr:from>
      <xdr:col>5</xdr:col>
      <xdr:colOff>560115</xdr:colOff>
      <xdr:row>0</xdr:row>
      <xdr:rowOff>55824</xdr:rowOff>
    </xdr:from>
    <xdr:to>
      <xdr:col>8</xdr:col>
      <xdr:colOff>237252</xdr:colOff>
      <xdr:row>10</xdr:row>
      <xdr:rowOff>69779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C54324-38E9-4BC8-9BE0-3B4D83C39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803302" y="55824"/>
          <a:ext cx="2942851" cy="4410109"/>
        </a:xfrm>
        <a:prstGeom prst="rect">
          <a:avLst/>
        </a:prstGeom>
      </xdr:spPr>
    </xdr:pic>
    <xdr:clientData/>
  </xdr:twoCellAnchor>
  <xdr:twoCellAnchor editAs="oneCell">
    <xdr:from>
      <xdr:col>13</xdr:col>
      <xdr:colOff>689876</xdr:colOff>
      <xdr:row>58</xdr:row>
      <xdr:rowOff>41641</xdr:rowOff>
    </xdr:from>
    <xdr:to>
      <xdr:col>20</xdr:col>
      <xdr:colOff>249836</xdr:colOff>
      <xdr:row>90</xdr:row>
      <xdr:rowOff>146602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B9A1833-26F8-AAC3-0E59-8C0D191BC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835802" y="13431518"/>
          <a:ext cx="5376874" cy="7317306"/>
        </a:xfrm>
        <a:prstGeom prst="rect">
          <a:avLst/>
        </a:prstGeom>
      </xdr:spPr>
    </xdr:pic>
    <xdr:clientData/>
  </xdr:twoCellAnchor>
  <xdr:twoCellAnchor editAs="oneCell">
    <xdr:from>
      <xdr:col>0</xdr:col>
      <xdr:colOff>117707</xdr:colOff>
      <xdr:row>111</xdr:row>
      <xdr:rowOff>118533</xdr:rowOff>
    </xdr:from>
    <xdr:to>
      <xdr:col>1</xdr:col>
      <xdr:colOff>897466</xdr:colOff>
      <xdr:row>131</xdr:row>
      <xdr:rowOff>50800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9149C03-9582-99E0-51CD-D492E9AD8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7707" y="24705733"/>
          <a:ext cx="2693226" cy="36745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85870-A67F-C447-8A4D-736B868D30B6}">
  <dimension ref="A1:V177"/>
  <sheetViews>
    <sheetView showGridLines="0" tabSelected="1" topLeftCell="A3" zoomScale="81" zoomScaleNormal="110" workbookViewId="0">
      <selection activeCell="K4" sqref="K4"/>
    </sheetView>
  </sheetViews>
  <sheetFormatPr baseColWidth="10" defaultRowHeight="15" x14ac:dyDescent="0.2"/>
  <cols>
    <col min="1" max="1" width="25.1640625" bestFit="1" customWidth="1"/>
    <col min="2" max="2" width="15.6640625" bestFit="1" customWidth="1"/>
    <col min="3" max="3" width="18.6640625" bestFit="1" customWidth="1"/>
    <col min="4" max="4" width="17.1640625" bestFit="1" customWidth="1"/>
    <col min="5" max="5" width="18.33203125" bestFit="1" customWidth="1"/>
    <col min="6" max="6" width="12.6640625" bestFit="1" customWidth="1"/>
    <col min="7" max="7" width="17.6640625" bestFit="1" customWidth="1"/>
    <col min="8" max="9" width="12.6640625" bestFit="1" customWidth="1"/>
    <col min="10" max="10" width="13.33203125" bestFit="1" customWidth="1"/>
    <col min="11" max="11" width="12.6640625" bestFit="1" customWidth="1"/>
  </cols>
  <sheetData>
    <row r="1" spans="1:8" ht="33" customHeight="1" x14ac:dyDescent="0.2"/>
    <row r="2" spans="1:8" ht="5" customHeight="1" x14ac:dyDescent="0.2"/>
    <row r="3" spans="1:8" ht="76" customHeight="1" x14ac:dyDescent="0.2"/>
    <row r="4" spans="1:8" ht="118" customHeight="1" x14ac:dyDescent="0.2"/>
    <row r="5" spans="1:8" ht="37" customHeight="1" x14ac:dyDescent="0.25">
      <c r="A5" s="14" t="s">
        <v>20</v>
      </c>
    </row>
    <row r="7" spans="1:8" x14ac:dyDescent="0.2">
      <c r="A7" s="13" t="s">
        <v>18</v>
      </c>
      <c r="B7" s="20">
        <v>5.0000000000000001E-4</v>
      </c>
    </row>
    <row r="11" spans="1:8" x14ac:dyDescent="0.2">
      <c r="A11" s="13" t="s">
        <v>25</v>
      </c>
    </row>
    <row r="12" spans="1:8" x14ac:dyDescent="0.2">
      <c r="A12" s="6"/>
      <c r="B12" s="6" t="s">
        <v>0</v>
      </c>
      <c r="C12" s="6" t="s">
        <v>1</v>
      </c>
      <c r="D12" s="6" t="s">
        <v>2</v>
      </c>
      <c r="E12" s="6" t="s">
        <v>3</v>
      </c>
      <c r="F12" s="6" t="s">
        <v>5</v>
      </c>
      <c r="G12" s="6" t="s">
        <v>4</v>
      </c>
      <c r="H12" s="17" t="s">
        <v>6</v>
      </c>
    </row>
    <row r="13" spans="1:8" x14ac:dyDescent="0.2">
      <c r="A13" s="16" t="s">
        <v>7</v>
      </c>
      <c r="B13" s="19">
        <f>AVERAGE('Main Data'!Q3:Q188)</f>
        <v>4.1658202714180699E-2</v>
      </c>
      <c r="C13" s="19">
        <f>AVERAGE('Main Data'!R3:R188)</f>
        <v>1.7852502363475867E-2</v>
      </c>
      <c r="D13" s="19">
        <f>AVERAGE('Main Data'!S3:S188)</f>
        <v>2.1382857462406753E-2</v>
      </c>
      <c r="E13" s="19">
        <f>AVERAGE('Main Data'!T3:T188)</f>
        <v>2.3228866314178042E-2</v>
      </c>
      <c r="F13" s="19">
        <f>AVERAGE('Main Data'!U3:U188)</f>
        <v>6.1560787697085024E-3</v>
      </c>
      <c r="G13" s="19">
        <f>AVERAGE('Main Data'!V3:V188)</f>
        <v>1.6955930642505862E-2</v>
      </c>
      <c r="H13" s="19">
        <f>AVERAGE('Main Data'!W3:W188)</f>
        <v>5.9154237764436216E-3</v>
      </c>
    </row>
    <row r="14" spans="1:8" x14ac:dyDescent="0.2">
      <c r="A14" s="12" t="s">
        <v>8</v>
      </c>
      <c r="B14" s="19">
        <f>_xlfn.STDEV.S('Main Data'!Q3:Q188)</f>
        <v>0.13054214206342996</v>
      </c>
      <c r="C14" s="19">
        <f>_xlfn.STDEV.S('Main Data'!R3:R188)</f>
        <v>6.2629544536358855E-2</v>
      </c>
      <c r="D14" s="19">
        <f>_xlfn.STDEV.S('Main Data'!S3:S188)</f>
        <v>7.664297894492772E-2</v>
      </c>
      <c r="E14" s="19">
        <f>_xlfn.STDEV.S('Main Data'!T3:T188)</f>
        <v>8.590161121490833E-2</v>
      </c>
      <c r="F14" s="19">
        <f>_xlfn.STDEV.S('Main Data'!U3:U188)</f>
        <v>4.4096798517441853E-2</v>
      </c>
      <c r="G14" s="19">
        <f>_xlfn.STDEV.S('Main Data'!V3:V188)</f>
        <v>7.1216157445071399E-2</v>
      </c>
      <c r="H14" s="19">
        <f>_xlfn.STDEV.S('Main Data'!W3:W188)</f>
        <v>4.3890976037379174E-2</v>
      </c>
    </row>
    <row r="16" spans="1:8" ht="16" x14ac:dyDescent="0.2">
      <c r="A16" s="13" t="s">
        <v>19</v>
      </c>
      <c r="E16" s="81" t="s">
        <v>79</v>
      </c>
    </row>
    <row r="17" spans="1:12" x14ac:dyDescent="0.2">
      <c r="A17" s="11" t="str">
        <f t="array" ref="A17:A23">TRANSPOSE(B12:H12)</f>
        <v>NVIDIA</v>
      </c>
      <c r="B17" s="19">
        <v>9.0913555875206439E-3</v>
      </c>
      <c r="F17">
        <v>1</v>
      </c>
      <c r="G17">
        <f>F17+1</f>
        <v>2</v>
      </c>
      <c r="H17">
        <f t="shared" ref="H17:L17" si="0">G17+1</f>
        <v>3</v>
      </c>
      <c r="I17">
        <f t="shared" si="0"/>
        <v>4</v>
      </c>
      <c r="J17">
        <f t="shared" si="0"/>
        <v>5</v>
      </c>
      <c r="K17">
        <f t="shared" si="0"/>
        <v>6</v>
      </c>
      <c r="L17">
        <f t="shared" si="0"/>
        <v>7</v>
      </c>
    </row>
    <row r="18" spans="1:12" x14ac:dyDescent="0.2">
      <c r="A18" s="11" t="str">
        <v>MICROSOFT</v>
      </c>
      <c r="B18" s="19">
        <v>8.7470313894049079E-2</v>
      </c>
      <c r="E18" s="3"/>
      <c r="F18" s="6" t="s">
        <v>0</v>
      </c>
      <c r="G18" s="6" t="s">
        <v>1</v>
      </c>
      <c r="H18" s="6" t="s">
        <v>2</v>
      </c>
      <c r="I18" s="6" t="s">
        <v>3</v>
      </c>
      <c r="J18" s="6" t="s">
        <v>5</v>
      </c>
      <c r="K18" s="6" t="s">
        <v>4</v>
      </c>
      <c r="L18" s="6" t="s">
        <v>6</v>
      </c>
    </row>
    <row r="19" spans="1:12" x14ac:dyDescent="0.2">
      <c r="A19" s="11" t="str">
        <v>APPLE</v>
      </c>
      <c r="B19" s="19">
        <v>1.8523180502715331E-2</v>
      </c>
      <c r="D19">
        <f>F17</f>
        <v>1</v>
      </c>
      <c r="E19" s="3" t="s">
        <v>0</v>
      </c>
      <c r="F19" s="10">
        <f>_xlfn.COVARIANCE.S(INDEX('Main Data'!$Q$3:$W$188,0,'Assignment 2'!F$17),INDEX('Main Data'!$Q$3:$W$188,0,'Assignment 2'!$D19))</f>
        <v>1.7041250854508729E-2</v>
      </c>
      <c r="G19" s="10">
        <f>_xlfn.COVARIANCE.S(INDEX('Main Data'!$Q$3:$W$188,0,'Assignment 2'!G$17),INDEX('Main Data'!$Q$3:$W$188,0,'Assignment 2'!$D19))</f>
        <v>4.0918541049925171E-3</v>
      </c>
      <c r="H19" s="10">
        <f>_xlfn.COVARIANCE.S(INDEX('Main Data'!$Q$3:$W$188,0,'Assignment 2'!H$17),INDEX('Main Data'!$Q$3:$W$188,0,'Assignment 2'!$D19))</f>
        <v>4.4467756635211955E-3</v>
      </c>
      <c r="I19" s="10">
        <f>_xlfn.COVARIANCE.S(INDEX('Main Data'!$Q$3:$W$188,0,'Assignment 2'!I$17),INDEX('Main Data'!$Q$3:$W$188,0,'Assignment 2'!$D19))</f>
        <v>4.8968280332551571E-3</v>
      </c>
      <c r="J19" s="10">
        <f>_xlfn.COVARIANCE.S(INDEX('Main Data'!$Q$3:$W$188,0,'Assignment 2'!J$17),INDEX('Main Data'!$Q$3:$W$188,0,'Assignment 2'!$D19))</f>
        <v>5.8989063086556544E-4</v>
      </c>
      <c r="K19" s="10">
        <f>_xlfn.COVARIANCE.S(INDEX('Main Data'!$Q$3:$W$188,0,'Assignment 2'!K$17),INDEX('Main Data'!$Q$3:$W$188,0,'Assignment 2'!$D19))</f>
        <v>3.7177491745773593E-3</v>
      </c>
      <c r="L19" s="10">
        <f>_xlfn.COVARIANCE.S(INDEX('Main Data'!$Q$3:$W$188,0,'Assignment 2'!L$17),INDEX('Main Data'!$Q$3:$W$188,0,'Assignment 2'!$D19))</f>
        <v>1.5320479842743649E-4</v>
      </c>
    </row>
    <row r="20" spans="1:12" x14ac:dyDescent="0.2">
      <c r="A20" s="11" t="str">
        <v>AMAZON.COM</v>
      </c>
      <c r="B20" s="19">
        <v>1.5583358974301806E-2</v>
      </c>
      <c r="D20">
        <f>D19+1</f>
        <v>2</v>
      </c>
      <c r="E20" s="3" t="s">
        <v>1</v>
      </c>
      <c r="F20" s="10">
        <f>_xlfn.COVARIANCE.S(INDEX('Main Data'!$Q$3:$W$188,0,'Assignment 2'!F$17),INDEX('Main Data'!$Q$3:$W$188,0,'Assignment 2'!$D20))</f>
        <v>4.0918541049925171E-3</v>
      </c>
      <c r="G20" s="10">
        <f>_xlfn.COVARIANCE.S(INDEX('Main Data'!$Q$3:$W$188,0,'Assignment 2'!G$17),INDEX('Main Data'!$Q$3:$W$188,0,'Assignment 2'!$D20))</f>
        <v>3.9224598488317563E-3</v>
      </c>
      <c r="H20" s="10">
        <f>_xlfn.COVARIANCE.S(INDEX('Main Data'!$Q$3:$W$188,0,'Assignment 2'!H$17),INDEX('Main Data'!$Q$3:$W$188,0,'Assignment 2'!$D20))</f>
        <v>2.3275216071546663E-3</v>
      </c>
      <c r="I20" s="10">
        <f>_xlfn.COVARIANCE.S(INDEX('Main Data'!$Q$3:$W$188,0,'Assignment 2'!I$17),INDEX('Main Data'!$Q$3:$W$188,0,'Assignment 2'!$D20))</f>
        <v>2.7899580166514302E-3</v>
      </c>
      <c r="J20" s="10">
        <f>_xlfn.COVARIANCE.S(INDEX('Main Data'!$Q$3:$W$188,0,'Assignment 2'!J$17),INDEX('Main Data'!$Q$3:$W$188,0,'Assignment 2'!$D20))</f>
        <v>8.0230452906844421E-4</v>
      </c>
      <c r="K20" s="10">
        <f>_xlfn.COVARIANCE.S(INDEX('Main Data'!$Q$3:$W$188,0,'Assignment 2'!K$17),INDEX('Main Data'!$Q$3:$W$188,0,'Assignment 2'!$D20))</f>
        <v>2.4488714932061231E-3</v>
      </c>
      <c r="L20" s="10">
        <f>_xlfn.COVARIANCE.S(INDEX('Main Data'!$Q$3:$W$188,0,'Assignment 2'!L$17),INDEX('Main Data'!$Q$3:$W$188,0,'Assignment 2'!$D20))</f>
        <v>7.7626798437708416E-4</v>
      </c>
    </row>
    <row r="21" spans="1:12" x14ac:dyDescent="0.2">
      <c r="A21" s="11" t="str">
        <v>JOHNSON &amp; JOHNSON</v>
      </c>
      <c r="B21" s="19">
        <v>0.39340158039002832</v>
      </c>
      <c r="D21">
        <f t="shared" ref="D21:D25" si="1">D20+1</f>
        <v>3</v>
      </c>
      <c r="E21" s="3" t="s">
        <v>2</v>
      </c>
      <c r="F21" s="10">
        <f>_xlfn.COVARIANCE.S(INDEX('Main Data'!$Q$3:$W$188,0,'Assignment 2'!F$17),INDEX('Main Data'!$Q$3:$W$188,0,'Assignment 2'!$D21))</f>
        <v>4.4467756635211955E-3</v>
      </c>
      <c r="G21" s="10">
        <f>_xlfn.COVARIANCE.S(INDEX('Main Data'!$Q$3:$W$188,0,'Assignment 2'!G$17),INDEX('Main Data'!$Q$3:$W$188,0,'Assignment 2'!$D21))</f>
        <v>2.3275216071546663E-3</v>
      </c>
      <c r="H21" s="10">
        <f>_xlfn.COVARIANCE.S(INDEX('Main Data'!$Q$3:$W$188,0,'Assignment 2'!H$17),INDEX('Main Data'!$Q$3:$W$188,0,'Assignment 2'!$D21))</f>
        <v>5.8741462215526358E-3</v>
      </c>
      <c r="I21" s="10">
        <f>_xlfn.COVARIANCE.S(INDEX('Main Data'!$Q$3:$W$188,0,'Assignment 2'!I$17),INDEX('Main Data'!$Q$3:$W$188,0,'Assignment 2'!$D21))</f>
        <v>3.0919180926861512E-3</v>
      </c>
      <c r="J21" s="10">
        <f>_xlfn.COVARIANCE.S(INDEX('Main Data'!$Q$3:$W$188,0,'Assignment 2'!J$17),INDEX('Main Data'!$Q$3:$W$188,0,'Assignment 2'!$D21))</f>
        <v>9.0740177925716591E-4</v>
      </c>
      <c r="K21" s="10">
        <f>_xlfn.COVARIANCE.S(INDEX('Main Data'!$Q$3:$W$188,0,'Assignment 2'!K$17),INDEX('Main Data'!$Q$3:$W$188,0,'Assignment 2'!$D21))</f>
        <v>2.2130299477338884E-3</v>
      </c>
      <c r="L21" s="10">
        <f>_xlfn.COVARIANCE.S(INDEX('Main Data'!$Q$3:$W$188,0,'Assignment 2'!L$17),INDEX('Main Data'!$Q$3:$W$188,0,'Assignment 2'!$D21))</f>
        <v>8.9738509522273324E-4</v>
      </c>
    </row>
    <row r="22" spans="1:12" x14ac:dyDescent="0.2">
      <c r="A22" s="11" t="str">
        <v>ALPHABET 'A'</v>
      </c>
      <c r="B22" s="19">
        <v>9.2743672321295323E-2</v>
      </c>
      <c r="D22">
        <f t="shared" si="1"/>
        <v>4</v>
      </c>
      <c r="E22" s="3" t="s">
        <v>3</v>
      </c>
      <c r="F22" s="10">
        <f>_xlfn.COVARIANCE.S(INDEX('Main Data'!$Q$3:$W$188,0,'Assignment 2'!F$17),INDEX('Main Data'!$Q$3:$W$188,0,'Assignment 2'!$D22))</f>
        <v>4.8968280332551571E-3</v>
      </c>
      <c r="G22" s="10">
        <f>_xlfn.COVARIANCE.S(INDEX('Main Data'!$Q$3:$W$188,0,'Assignment 2'!G$17),INDEX('Main Data'!$Q$3:$W$188,0,'Assignment 2'!$D22))</f>
        <v>2.7899580166514302E-3</v>
      </c>
      <c r="H22" s="10">
        <f>_xlfn.COVARIANCE.S(INDEX('Main Data'!$Q$3:$W$188,0,'Assignment 2'!H$17),INDEX('Main Data'!$Q$3:$W$188,0,'Assignment 2'!$D22))</f>
        <v>3.0919180926861512E-3</v>
      </c>
      <c r="I22" s="10">
        <f>_xlfn.COVARIANCE.S(INDEX('Main Data'!$Q$3:$W$188,0,'Assignment 2'!I$17),INDEX('Main Data'!$Q$3:$W$188,0,'Assignment 2'!$D22))</f>
        <v>7.3790868093172677E-3</v>
      </c>
      <c r="J22" s="10">
        <f>_xlfn.COVARIANCE.S(INDEX('Main Data'!$Q$3:$W$188,0,'Assignment 2'!J$17),INDEX('Main Data'!$Q$3:$W$188,0,'Assignment 2'!$D22))</f>
        <v>8.0041924559966725E-4</v>
      </c>
      <c r="K22" s="10">
        <f>_xlfn.COVARIANCE.S(INDEX('Main Data'!$Q$3:$W$188,0,'Assignment 2'!K$17),INDEX('Main Data'!$Q$3:$W$188,0,'Assignment 2'!$D22))</f>
        <v>3.3720309626197862E-3</v>
      </c>
      <c r="L22" s="10">
        <f>_xlfn.COVARIANCE.S(INDEX('Main Data'!$Q$3:$W$188,0,'Assignment 2'!L$17),INDEX('Main Data'!$Q$3:$W$188,0,'Assignment 2'!$D22))</f>
        <v>5.7060661082526882E-4</v>
      </c>
    </row>
    <row r="23" spans="1:12" x14ac:dyDescent="0.2">
      <c r="A23" s="11" t="str">
        <v>COCA COLA</v>
      </c>
      <c r="B23" s="19">
        <v>0.38318653833008948</v>
      </c>
      <c r="D23">
        <f t="shared" si="1"/>
        <v>5</v>
      </c>
      <c r="E23" s="3" t="s">
        <v>5</v>
      </c>
      <c r="F23" s="10">
        <f>_xlfn.COVARIANCE.S(INDEX('Main Data'!$Q$3:$W$188,0,'Assignment 2'!F$17),INDEX('Main Data'!$Q$3:$W$188,0,'Assignment 2'!$D23))</f>
        <v>5.8989063086556544E-4</v>
      </c>
      <c r="G23" s="10">
        <f>_xlfn.COVARIANCE.S(INDEX('Main Data'!$Q$3:$W$188,0,'Assignment 2'!G$17),INDEX('Main Data'!$Q$3:$W$188,0,'Assignment 2'!$D23))</f>
        <v>8.0230452906844421E-4</v>
      </c>
      <c r="H23" s="10">
        <f>_xlfn.COVARIANCE.S(INDEX('Main Data'!$Q$3:$W$188,0,'Assignment 2'!H$17),INDEX('Main Data'!$Q$3:$W$188,0,'Assignment 2'!$D23))</f>
        <v>9.0740177925716591E-4</v>
      </c>
      <c r="I23" s="10">
        <f>_xlfn.COVARIANCE.S(INDEX('Main Data'!$Q$3:$W$188,0,'Assignment 2'!I$17),INDEX('Main Data'!$Q$3:$W$188,0,'Assignment 2'!$D23))</f>
        <v>8.0041924559966725E-4</v>
      </c>
      <c r="J23" s="10">
        <f>_xlfn.COVARIANCE.S(INDEX('Main Data'!$Q$3:$W$188,0,'Assignment 2'!J$17),INDEX('Main Data'!$Q$3:$W$188,0,'Assignment 2'!$D23))</f>
        <v>1.9445276394878621E-3</v>
      </c>
      <c r="K23" s="10">
        <f>_xlfn.COVARIANCE.S(INDEX('Main Data'!$Q$3:$W$188,0,'Assignment 2'!K$17),INDEX('Main Data'!$Q$3:$W$188,0,'Assignment 2'!$D23))</f>
        <v>4.9723415170915613E-4</v>
      </c>
      <c r="L23" s="10">
        <f>_xlfn.COVARIANCE.S(INDEX('Main Data'!$Q$3:$W$188,0,'Assignment 2'!L$17),INDEX('Main Data'!$Q$3:$W$188,0,'Assignment 2'!$D23))</f>
        <v>1.0208443119175078E-3</v>
      </c>
    </row>
    <row r="24" spans="1:12" x14ac:dyDescent="0.2">
      <c r="A24" s="11" t="s">
        <v>26</v>
      </c>
      <c r="B24" s="20">
        <f>SUM(B17:B23)</f>
        <v>1</v>
      </c>
      <c r="D24">
        <f t="shared" si="1"/>
        <v>6</v>
      </c>
      <c r="E24" s="3" t="s">
        <v>4</v>
      </c>
      <c r="F24" s="10">
        <f>_xlfn.COVARIANCE.S(INDEX('Main Data'!$Q$3:$W$188,0,'Assignment 2'!F$17),INDEX('Main Data'!$Q$3:$W$188,0,'Assignment 2'!$D24))</f>
        <v>3.7177491745773593E-3</v>
      </c>
      <c r="G24" s="10">
        <f>_xlfn.COVARIANCE.S(INDEX('Main Data'!$Q$3:$W$188,0,'Assignment 2'!G$17),INDEX('Main Data'!$Q$3:$W$188,0,'Assignment 2'!$D24))</f>
        <v>2.4488714932061231E-3</v>
      </c>
      <c r="H24" s="10">
        <f>_xlfn.COVARIANCE.S(INDEX('Main Data'!$Q$3:$W$188,0,'Assignment 2'!H$17),INDEX('Main Data'!$Q$3:$W$188,0,'Assignment 2'!$D24))</f>
        <v>2.2130299477338884E-3</v>
      </c>
      <c r="I24" s="10">
        <f>_xlfn.COVARIANCE.S(INDEX('Main Data'!$Q$3:$W$188,0,'Assignment 2'!I$17),INDEX('Main Data'!$Q$3:$W$188,0,'Assignment 2'!$D24))</f>
        <v>3.3720309626197862E-3</v>
      </c>
      <c r="J24" s="10">
        <f>_xlfn.COVARIANCE.S(INDEX('Main Data'!$Q$3:$W$188,0,'Assignment 2'!J$17),INDEX('Main Data'!$Q$3:$W$188,0,'Assignment 2'!$D24))</f>
        <v>4.9723415170915613E-4</v>
      </c>
      <c r="K24" s="10">
        <f>_xlfn.COVARIANCE.S(INDEX('Main Data'!$Q$3:$W$188,0,'Assignment 2'!K$17),INDEX('Main Data'!$Q$3:$W$188,0,'Assignment 2'!$D24))</f>
        <v>5.0717410812411972E-3</v>
      </c>
      <c r="L24" s="10">
        <f>_xlfn.COVARIANCE.S(INDEX('Main Data'!$Q$3:$W$188,0,'Assignment 2'!L$17),INDEX('Main Data'!$Q$3:$W$188,0,'Assignment 2'!$D24))</f>
        <v>7.8176952929878761E-4</v>
      </c>
    </row>
    <row r="25" spans="1:12" x14ac:dyDescent="0.2">
      <c r="D25">
        <f t="shared" si="1"/>
        <v>7</v>
      </c>
      <c r="E25" s="3" t="s">
        <v>6</v>
      </c>
      <c r="F25" s="10">
        <f>_xlfn.COVARIANCE.S(INDEX('Main Data'!$Q$3:$W$188,0,'Assignment 2'!F$17),INDEX('Main Data'!$Q$3:$W$188,0,'Assignment 2'!$D25))</f>
        <v>1.5320479842743649E-4</v>
      </c>
      <c r="G25" s="10">
        <f>_xlfn.COVARIANCE.S(INDEX('Main Data'!$Q$3:$W$188,0,'Assignment 2'!G$17),INDEX('Main Data'!$Q$3:$W$188,0,'Assignment 2'!$D25))</f>
        <v>7.7626798437708416E-4</v>
      </c>
      <c r="H25" s="10">
        <f>_xlfn.COVARIANCE.S(INDEX('Main Data'!$Q$3:$W$188,0,'Assignment 2'!H$17),INDEX('Main Data'!$Q$3:$W$188,0,'Assignment 2'!$D25))</f>
        <v>8.9738509522273324E-4</v>
      </c>
      <c r="I25" s="10">
        <f>_xlfn.COVARIANCE.S(INDEX('Main Data'!$Q$3:$W$188,0,'Assignment 2'!I$17),INDEX('Main Data'!$Q$3:$W$188,0,'Assignment 2'!$D25))</f>
        <v>5.7060661082526882E-4</v>
      </c>
      <c r="J25" s="10">
        <f>_xlfn.COVARIANCE.S(INDEX('Main Data'!$Q$3:$W$188,0,'Assignment 2'!J$17),INDEX('Main Data'!$Q$3:$W$188,0,'Assignment 2'!$D25))</f>
        <v>1.0208443119175078E-3</v>
      </c>
      <c r="K25" s="10">
        <f>_xlfn.COVARIANCE.S(INDEX('Main Data'!$Q$3:$W$188,0,'Assignment 2'!K$17),INDEX('Main Data'!$Q$3:$W$188,0,'Assignment 2'!$D25))</f>
        <v>7.8176952929878761E-4</v>
      </c>
      <c r="L25" s="10">
        <f>_xlfn.COVARIANCE.S(INDEX('Main Data'!$Q$3:$W$188,0,'Assignment 2'!L$17),INDEX('Main Data'!$Q$3:$W$188,0,'Assignment 2'!$D25))</f>
        <v>1.9264177775137929E-3</v>
      </c>
    </row>
    <row r="28" spans="1:12" x14ac:dyDescent="0.2">
      <c r="A28" s="13" t="s">
        <v>22</v>
      </c>
      <c r="B28" s="74" cm="1">
        <f t="array" ref="B28">MMULT(MMULT(TRANSPOSE($B$17:$B$23),$F$19:$L$25),$B$17:$B$23)</f>
        <v>1.3070909521187592E-3</v>
      </c>
    </row>
    <row r="29" spans="1:12" x14ac:dyDescent="0.2">
      <c r="A29" s="13" t="s">
        <v>23</v>
      </c>
      <c r="B29" s="19" cm="1">
        <f t="array" ref="B29">MMULT($B$13:$H$13,$B$17:$B$23)</f>
        <v>8.959432962389954E-3</v>
      </c>
    </row>
    <row r="30" spans="1:12" x14ac:dyDescent="0.2">
      <c r="A30" s="13" t="s">
        <v>24</v>
      </c>
      <c r="B30" s="19">
        <f>SQRT(B28)</f>
        <v>3.6153712840021827E-2</v>
      </c>
    </row>
    <row r="31" spans="1:12" x14ac:dyDescent="0.2">
      <c r="A31" s="13"/>
      <c r="B31" s="28"/>
    </row>
    <row r="32" spans="1:12" x14ac:dyDescent="0.2">
      <c r="A32" s="13"/>
      <c r="B32" s="28"/>
    </row>
    <row r="33" spans="1:22" x14ac:dyDescent="0.2">
      <c r="A33" s="13"/>
      <c r="B33" s="28"/>
    </row>
    <row r="36" spans="1:22" x14ac:dyDescent="0.2">
      <c r="A36" t="s">
        <v>21</v>
      </c>
    </row>
    <row r="42" spans="1:22" x14ac:dyDescent="0.2">
      <c r="B42" s="13" t="s">
        <v>70</v>
      </c>
      <c r="M42" s="13" t="s">
        <v>69</v>
      </c>
    </row>
    <row r="44" spans="1:22" x14ac:dyDescent="0.2">
      <c r="B44" s="24" t="s">
        <v>41</v>
      </c>
      <c r="C44" s="25" t="s">
        <v>27</v>
      </c>
      <c r="D44" s="25" t="s">
        <v>28</v>
      </c>
      <c r="E44" s="25" t="s">
        <v>29</v>
      </c>
      <c r="F44" s="25" t="s">
        <v>30</v>
      </c>
      <c r="G44" s="25" t="s">
        <v>31</v>
      </c>
      <c r="H44" s="25" t="s">
        <v>32</v>
      </c>
      <c r="I44" s="25" t="s">
        <v>33</v>
      </c>
      <c r="J44" s="25" t="s">
        <v>34</v>
      </c>
      <c r="K44" s="72" t="s">
        <v>35</v>
      </c>
      <c r="M44" s="72" t="s">
        <v>42</v>
      </c>
      <c r="N44" s="25" t="s">
        <v>43</v>
      </c>
      <c r="O44" s="25" t="s">
        <v>45</v>
      </c>
      <c r="P44" s="25" t="s">
        <v>46</v>
      </c>
      <c r="Q44" s="25" t="s">
        <v>47</v>
      </c>
      <c r="R44" s="25" t="s">
        <v>48</v>
      </c>
      <c r="S44" s="25" t="s">
        <v>49</v>
      </c>
      <c r="T44" s="25" t="s">
        <v>50</v>
      </c>
      <c r="U44" s="26" t="s">
        <v>51</v>
      </c>
    </row>
    <row r="45" spans="1:22" x14ac:dyDescent="0.2">
      <c r="B45" s="27">
        <v>9.0913808387428473E-3</v>
      </c>
      <c r="C45" s="28">
        <v>9.4849810556679903E-2</v>
      </c>
      <c r="D45" s="28">
        <v>0.14336048294804044</v>
      </c>
      <c r="E45" s="28">
        <v>0.18199078156842033</v>
      </c>
      <c r="F45" s="28">
        <v>0.21653000744772091</v>
      </c>
      <c r="G45" s="28">
        <v>0.24960089668492463</v>
      </c>
      <c r="H45" s="28">
        <v>0.27979268103900939</v>
      </c>
      <c r="I45" s="28">
        <v>0.30965510559270082</v>
      </c>
      <c r="J45" s="28">
        <v>0.47650403580030309</v>
      </c>
      <c r="K45" s="22">
        <v>0.58291652005203487</v>
      </c>
      <c r="L45" s="28"/>
      <c r="M45" s="22">
        <v>-7.6603250241981433E-2</v>
      </c>
      <c r="N45" s="28">
        <v>-0.12451404274141564</v>
      </c>
      <c r="O45" s="28">
        <v>-0.16402511011061688</v>
      </c>
      <c r="P45" s="28">
        <v>-0.19877535773518326</v>
      </c>
      <c r="Q45" s="28">
        <v>-0.23110561531384272</v>
      </c>
      <c r="R45" s="28">
        <v>-0.26179295604602348</v>
      </c>
      <c r="S45" s="28">
        <v>-0.29026573427270258</v>
      </c>
      <c r="T45" s="28">
        <v>-0.45783482439257528</v>
      </c>
      <c r="U45" s="29">
        <v>-0.56419217634897467</v>
      </c>
      <c r="V45" s="18"/>
    </row>
    <row r="46" spans="1:22" x14ac:dyDescent="0.2">
      <c r="B46" s="27">
        <v>8.7470973611892405E-2</v>
      </c>
      <c r="C46" s="28">
        <v>0.11098357415410494</v>
      </c>
      <c r="D46" s="28">
        <v>0.12454783009425734</v>
      </c>
      <c r="E46" s="28">
        <v>0.13506872531846728</v>
      </c>
      <c r="F46" s="28">
        <v>0.14657951805751657</v>
      </c>
      <c r="G46" s="28">
        <v>0.15274564194922108</v>
      </c>
      <c r="H46" s="28">
        <v>0.16380104653971433</v>
      </c>
      <c r="I46" s="28">
        <v>0.17093870062022418</v>
      </c>
      <c r="J46" s="28">
        <v>0.21322696366416891</v>
      </c>
      <c r="K46" s="22">
        <v>0.24877011453922965</v>
      </c>
      <c r="L46" s="28"/>
      <c r="M46" s="22">
        <v>6.3314816391005321E-2</v>
      </c>
      <c r="N46" s="28">
        <v>4.901336980294263E-2</v>
      </c>
      <c r="O46" s="28">
        <v>3.8627714964926153E-2</v>
      </c>
      <c r="P46" s="28">
        <v>2.9333054772045637E-2</v>
      </c>
      <c r="Q46" s="28">
        <v>1.7785387564181195E-2</v>
      </c>
      <c r="R46" s="28">
        <v>1.1753869461777611E-2</v>
      </c>
      <c r="S46" s="28">
        <v>3.3261240905868303E-3</v>
      </c>
      <c r="T46" s="28">
        <v>-4.4570692235859286E-2</v>
      </c>
      <c r="U46" s="29">
        <v>-7.3117160820985308E-2</v>
      </c>
      <c r="V46" s="18"/>
    </row>
    <row r="47" spans="1:22" x14ac:dyDescent="0.2">
      <c r="B47" s="27">
        <v>1.8523126848506904E-2</v>
      </c>
      <c r="C47" s="28">
        <v>8.0840352097027376E-2</v>
      </c>
      <c r="D47" s="28">
        <v>0.11681186087587912</v>
      </c>
      <c r="E47" s="28">
        <v>0.14425282168757955</v>
      </c>
      <c r="F47" s="28">
        <v>0.16945605478232648</v>
      </c>
      <c r="G47" s="28">
        <v>0.19193238414586472</v>
      </c>
      <c r="H47" s="28">
        <v>0.21488158826417886</v>
      </c>
      <c r="I47" s="28">
        <v>0.23463130851126945</v>
      </c>
      <c r="J47" s="28">
        <v>0.35691564133092119</v>
      </c>
      <c r="K47" s="22">
        <v>0.43630784311647219</v>
      </c>
      <c r="L47" s="28"/>
      <c r="M47" s="22">
        <v>-4.3760409805037911E-2</v>
      </c>
      <c r="N47" s="28">
        <v>-7.9360259944918007E-2</v>
      </c>
      <c r="O47" s="28">
        <v>-0.10702784006218236</v>
      </c>
      <c r="P47" s="28">
        <v>-0.13232091619208083</v>
      </c>
      <c r="Q47" s="28">
        <v>-0.15481214332399709</v>
      </c>
      <c r="R47" s="28">
        <v>-0.17702645530630789</v>
      </c>
      <c r="S47" s="28">
        <v>-0.1995836392128891</v>
      </c>
      <c r="T47" s="28">
        <v>-0.32031172714716999</v>
      </c>
      <c r="U47" s="29">
        <v>-0.40035086838368461</v>
      </c>
      <c r="V47" s="18"/>
    </row>
    <row r="48" spans="1:22" x14ac:dyDescent="0.2">
      <c r="B48" s="27">
        <v>1.5583457401570541E-2</v>
      </c>
      <c r="C48" s="28">
        <v>6.5072901659991453E-2</v>
      </c>
      <c r="D48" s="28">
        <v>9.1958977221607591E-2</v>
      </c>
      <c r="E48" s="28">
        <v>0.11668463777686162</v>
      </c>
      <c r="F48" s="28">
        <v>0.13631106845565646</v>
      </c>
      <c r="G48" s="28">
        <v>0.15486953233951686</v>
      </c>
      <c r="H48" s="28">
        <v>0.17176676094081417</v>
      </c>
      <c r="I48" s="28">
        <v>0.1911470228931344</v>
      </c>
      <c r="J48" s="28">
        <v>0.28815659734978932</v>
      </c>
      <c r="K48" s="22">
        <v>0.34192503962065279</v>
      </c>
      <c r="L48" s="28"/>
      <c r="M48" s="22">
        <v>-3.4325168388505814E-2</v>
      </c>
      <c r="N48" s="28">
        <v>-6.3538846065538168E-2</v>
      </c>
      <c r="O48" s="28">
        <v>-8.4253823899015132E-2</v>
      </c>
      <c r="P48" s="28">
        <v>-0.10448023507971647</v>
      </c>
      <c r="Q48" s="28">
        <v>-0.12173124605014815</v>
      </c>
      <c r="R48" s="28">
        <v>-0.14106331231705274</v>
      </c>
      <c r="S48" s="28">
        <v>-0.15947055174728</v>
      </c>
      <c r="T48" s="28">
        <v>-0.25440344976038831</v>
      </c>
      <c r="U48" s="29">
        <v>-0.31126816917873007</v>
      </c>
      <c r="V48" s="18"/>
    </row>
    <row r="49" spans="1:22" x14ac:dyDescent="0.2">
      <c r="B49" s="27">
        <v>0.39340091550266881</v>
      </c>
      <c r="C49" s="28">
        <v>0.269674655356899</v>
      </c>
      <c r="D49" s="28">
        <v>0.20043445068002233</v>
      </c>
      <c r="E49" s="28">
        <v>0.14179857363273865</v>
      </c>
      <c r="F49" s="28">
        <v>9.5927992966263587E-2</v>
      </c>
      <c r="G49" s="28">
        <v>4.5503639556094239E-2</v>
      </c>
      <c r="H49" s="28">
        <v>3.1545651750076766E-3</v>
      </c>
      <c r="I49" s="28">
        <v>-4.0310899649392634E-2</v>
      </c>
      <c r="J49" s="28">
        <v>-0.28293760838068777</v>
      </c>
      <c r="K49" s="22">
        <v>-0.43273787879972514</v>
      </c>
      <c r="L49" s="28"/>
      <c r="M49" s="22">
        <v>0.51705922695594275</v>
      </c>
      <c r="N49" s="28">
        <v>0.58398879721641506</v>
      </c>
      <c r="O49" s="28">
        <v>0.64304965288897686</v>
      </c>
      <c r="P49" s="28">
        <v>0.69322158156986458</v>
      </c>
      <c r="Q49" s="28">
        <v>0.74164781406831715</v>
      </c>
      <c r="R49" s="28">
        <v>0.78309257537618915</v>
      </c>
      <c r="S49" s="28">
        <v>0.82395072986352313</v>
      </c>
      <c r="T49" s="28">
        <v>1.0669271985435211</v>
      </c>
      <c r="U49" s="29">
        <v>1.2189707800048204</v>
      </c>
      <c r="V49" s="18"/>
    </row>
    <row r="50" spans="1:22" x14ac:dyDescent="0.2">
      <c r="B50" s="27">
        <v>9.2743012795264076E-2</v>
      </c>
      <c r="C50" s="28">
        <v>7.6605312718567908E-2</v>
      </c>
      <c r="D50" s="28">
        <v>6.7817757038864418E-2</v>
      </c>
      <c r="E50" s="28">
        <v>5.8654432329515074E-2</v>
      </c>
      <c r="F50" s="28">
        <v>5.0598677567682805E-2</v>
      </c>
      <c r="G50" s="28">
        <v>4.6269672903334398E-2</v>
      </c>
      <c r="H50" s="28">
        <v>3.9782327392593686E-2</v>
      </c>
      <c r="I50" s="28">
        <v>3.3683414462677912E-2</v>
      </c>
      <c r="J50" s="28">
        <v>3.3114264421219941E-3</v>
      </c>
      <c r="K50" s="22">
        <v>-1.5905205188302348E-2</v>
      </c>
      <c r="L50" s="28"/>
      <c r="M50" s="22">
        <v>0.10996898861585079</v>
      </c>
      <c r="N50" s="28">
        <v>0.12082666123720766</v>
      </c>
      <c r="O50" s="28">
        <v>0.12668530319208818</v>
      </c>
      <c r="P50" s="28">
        <v>0.13400779038403762</v>
      </c>
      <c r="Q50" s="28">
        <v>0.13977049644836645</v>
      </c>
      <c r="R50" s="28">
        <v>0.1452410116649849</v>
      </c>
      <c r="S50" s="28">
        <v>0.15068187406318578</v>
      </c>
      <c r="T50" s="28">
        <v>0.18400502400844163</v>
      </c>
      <c r="U50" s="29">
        <v>0.20120797045285066</v>
      </c>
      <c r="V50" s="18"/>
    </row>
    <row r="51" spans="1:22" x14ac:dyDescent="0.2">
      <c r="B51" s="27">
        <v>0.38318713300135437</v>
      </c>
      <c r="C51" s="28">
        <v>0.30197339345672952</v>
      </c>
      <c r="D51" s="28">
        <v>0.25506864114132882</v>
      </c>
      <c r="E51" s="28">
        <v>0.22155002768641752</v>
      </c>
      <c r="F51" s="28">
        <v>0.18459668072283303</v>
      </c>
      <c r="G51" s="28">
        <v>0.15907823242104407</v>
      </c>
      <c r="H51" s="28">
        <v>0.12682103064868194</v>
      </c>
      <c r="I51" s="28">
        <v>0.10025534756938594</v>
      </c>
      <c r="J51" s="28">
        <v>-5.5177056206616663E-2</v>
      </c>
      <c r="K51" s="22">
        <v>-0.16127643334036224</v>
      </c>
      <c r="L51" s="28"/>
      <c r="M51" s="22">
        <v>0.46434579647272622</v>
      </c>
      <c r="N51" s="28">
        <v>0.51358432049530656</v>
      </c>
      <c r="O51" s="28">
        <v>0.54694410302582319</v>
      </c>
      <c r="P51" s="28">
        <v>0.5790140822810329</v>
      </c>
      <c r="Q51" s="28">
        <v>0.60844530660712337</v>
      </c>
      <c r="R51" s="28">
        <v>0.63979526716643254</v>
      </c>
      <c r="S51" s="28">
        <v>0.67136119721557597</v>
      </c>
      <c r="T51" s="28">
        <v>0.82618847098403025</v>
      </c>
      <c r="U51" s="29">
        <v>0.92874962427470331</v>
      </c>
      <c r="V51" s="18"/>
    </row>
    <row r="52" spans="1:22" x14ac:dyDescent="0.2">
      <c r="A52" s="11" t="s">
        <v>26</v>
      </c>
      <c r="B52" s="30">
        <f t="shared" ref="B52:K52" si="2">SUM(B45:B51)</f>
        <v>1</v>
      </c>
      <c r="C52" s="31">
        <f t="shared" si="2"/>
        <v>1</v>
      </c>
      <c r="D52" s="31">
        <f t="shared" si="2"/>
        <v>1</v>
      </c>
      <c r="E52" s="31">
        <f t="shared" si="2"/>
        <v>1</v>
      </c>
      <c r="F52" s="31">
        <f t="shared" si="2"/>
        <v>0.99999999999999978</v>
      </c>
      <c r="G52" s="31">
        <f t="shared" si="2"/>
        <v>1</v>
      </c>
      <c r="H52" s="31">
        <f t="shared" si="2"/>
        <v>1.0000000000000002</v>
      </c>
      <c r="I52" s="31">
        <f t="shared" si="2"/>
        <v>1</v>
      </c>
      <c r="J52" s="31">
        <f t="shared" si="2"/>
        <v>0.99999999999999989</v>
      </c>
      <c r="K52" s="22">
        <f t="shared" si="2"/>
        <v>0.99999999999999978</v>
      </c>
      <c r="L52" s="28"/>
      <c r="M52" s="23">
        <f t="shared" ref="M52:U52" si="3">SUM(M45:M51)</f>
        <v>0.99999999999999989</v>
      </c>
      <c r="N52" s="31">
        <f t="shared" si="3"/>
        <v>1</v>
      </c>
      <c r="O52" s="31">
        <f t="shared" si="3"/>
        <v>1</v>
      </c>
      <c r="P52" s="31">
        <f t="shared" si="3"/>
        <v>1.0000000000000002</v>
      </c>
      <c r="Q52" s="31">
        <f t="shared" si="3"/>
        <v>1.0000000000000002</v>
      </c>
      <c r="R52" s="31">
        <f t="shared" si="3"/>
        <v>1</v>
      </c>
      <c r="S52" s="31">
        <f t="shared" si="3"/>
        <v>1</v>
      </c>
      <c r="T52" s="31">
        <f t="shared" si="3"/>
        <v>1</v>
      </c>
      <c r="U52" s="32">
        <f t="shared" si="3"/>
        <v>0.99999999999999978</v>
      </c>
      <c r="V52" s="18"/>
    </row>
    <row r="53" spans="1:22" x14ac:dyDescent="0.2">
      <c r="K53" s="73"/>
      <c r="M53" s="55"/>
    </row>
    <row r="54" spans="1:22" x14ac:dyDescent="0.2">
      <c r="A54" s="57" t="s">
        <v>22</v>
      </c>
      <c r="B54" s="33" cm="1">
        <f t="array" ref="B54">MMULT(MMULT(TRANSPOSE(B$45:B$51),$F$19:$L$25),B$45:B$51)</f>
        <v>1.3070909521188806E-3</v>
      </c>
      <c r="C54" s="34" cm="1">
        <f t="array" ref="C54">MMULT(MMULT(TRANSPOSE(C$45:C$51),$F$19:$L$25),C$45:C$51)</f>
        <v>1.600063712472676E-3</v>
      </c>
      <c r="D54" s="34" cm="1">
        <f t="array" ref="D54">MMULT(MMULT(TRANSPOSE(D$45:D$51),$F$19:$L$25),D$45:D$51)</f>
        <v>2.0250897536775378E-3</v>
      </c>
      <c r="E54" s="34" cm="1">
        <f t="array" ref="E54">MMULT(MMULT(TRANSPOSE(E$45:E$51),$F$19:$L$25),E$45:E$51)</f>
        <v>2.500099945653817E-3</v>
      </c>
      <c r="F54" s="34" cm="1">
        <f t="array" ref="F54">MMULT(MMULT(TRANSPOSE(F$45:F$51),$F$19:$L$25),F$45:F$51)</f>
        <v>3.0251089393845939E-3</v>
      </c>
      <c r="G54" s="34" cm="1">
        <f t="array" ref="G54">MMULT(MMULT(TRANSPOSE(G$45:G$51),$F$19:$L$25),G$45:G$51)</f>
        <v>3.6001199919286453E-3</v>
      </c>
      <c r="H54" s="34" cm="1">
        <f t="array" ref="H54">MMULT(MMULT(TRANSPOSE(H$45:H$51),$F$19:$L$25),H$45:H$51)</f>
        <v>4.2250851566261573E-3</v>
      </c>
      <c r="I54" s="34" cm="1">
        <f t="array" ref="I54">MMULT(MMULT(TRANSPOSE(I$45:I$51),$F$19:$L$25),I$45:I$51)</f>
        <v>4.9000500349739174E-3</v>
      </c>
      <c r="J54" s="34" cm="1">
        <f t="array" ref="J54">MMULT(MMULT(TRANSPOSE(J$45:J$51),$F$19:$L$25),J$45:J$51)</f>
        <v>1.0000199626879005E-2</v>
      </c>
      <c r="K54" s="39" cm="1">
        <f t="array" ref="K54">MMULT(MMULT(TRANSPOSE(K$45:K$51),$F$19:$L$25),K$45:K$51)</f>
        <v>1.4400231981340135E-2</v>
      </c>
      <c r="L54" s="9"/>
      <c r="M54" s="71" cm="1">
        <f t="array" ref="M54">MMULT(MMULT(TRANSPOSE(M$45:M$51),$F$19:$L$25),M$45:M$51)</f>
        <v>1.6000799912403417E-3</v>
      </c>
      <c r="N54" s="34" cm="1">
        <f t="array" ref="N54">MMULT(MMULT(TRANSPOSE(N$45:N$51),$F$19:$L$25),N$45:N$51)</f>
        <v>2.0250757258546189E-3</v>
      </c>
      <c r="O54" s="34" cm="1">
        <f t="array" ref="O54">MMULT(MMULT(TRANSPOSE(O$45:O$51),$F$19:$L$25),O$45:O$51)</f>
        <v>2.5000999574613038E-3</v>
      </c>
      <c r="P54" s="34" cm="1">
        <f t="array" ref="P54">MMULT(MMULT(TRANSPOSE(P$45:P$51),$F$19:$L$25),P$45:P$51)</f>
        <v>3.0250939909944336E-3</v>
      </c>
      <c r="Q54" s="34" cm="1">
        <f t="array" ref="Q54">MMULT(MMULT(TRANSPOSE(Q$45:Q$51),$F$19:$L$25),Q$45:Q$51)</f>
        <v>3.6001184574844733E-3</v>
      </c>
      <c r="R54" s="34" cm="1">
        <f t="array" ref="R54">MMULT(MMULT(TRANSPOSE(R$45:R$51),$F$19:$L$25),R$45:R$51)</f>
        <v>4.2250857886571647E-3</v>
      </c>
      <c r="S54" s="34" cm="1">
        <f t="array" ref="S54">MMULT(MMULT(TRANSPOSE(S$45:S$51),$F$19:$L$25),S$45:S$51)</f>
        <v>4.9001399309343023E-3</v>
      </c>
      <c r="T54" s="34" cm="1">
        <f t="array" ref="T54">MMULT(MMULT(TRANSPOSE(T$45:T$51),$F$19:$L$25),T$45:T$51)</f>
        <v>1.0000183833616822E-2</v>
      </c>
      <c r="U54" s="35" cm="1">
        <f t="array" ref="U54">MMULT(MMULT(TRANSPOSE(U$45:U$51),$F$19:$L$25),U$45:U$51)</f>
        <v>1.4400236567948322E-2</v>
      </c>
      <c r="V54" s="9"/>
    </row>
    <row r="55" spans="1:22" x14ac:dyDescent="0.2">
      <c r="A55" s="58" t="s">
        <v>23</v>
      </c>
      <c r="B55" s="27" cm="1">
        <f t="array" ref="B55">MMULT($B$13:$H$13,B$45:B$51)</f>
        <v>8.9594351727543611E-3</v>
      </c>
      <c r="C55" s="28" cm="1">
        <f t="array" ref="C55">MMULT($B$13:$H$13,C$45:C$51)</f>
        <v>1.3918127996283947E-2</v>
      </c>
      <c r="D55" s="28" cm="1">
        <f t="array" ref="D55">MMULT($B$13:$H$13,D$45:D$51)</f>
        <v>1.6722147205935865E-2</v>
      </c>
      <c r="E55" s="28" cm="1">
        <f t="array" ref="E55">MMULT($B$13:$H$13,E$45:E$51)</f>
        <v>1.8965738961819779E-2</v>
      </c>
      <c r="F55" s="28" cm="1">
        <f t="array" ref="F55">MMULT($B$13:$H$13,F$45:F$51)</f>
        <v>2.0967323930931599E-2</v>
      </c>
      <c r="G55" s="28" cm="1">
        <f t="array" ref="G55">MMULT($B$13:$H$13,G$45:G$51)</f>
        <v>2.2832007673509985E-2</v>
      </c>
      <c r="H55" s="28" cm="1">
        <f t="array" ref="H55">MMULT($B$13:$H$13,H$45:H$51)</f>
        <v>2.4608814571239396E-2</v>
      </c>
      <c r="I55" s="28" cm="1">
        <f t="array" ref="I55">MMULT($B$13:$H$13,I$45:I$51)</f>
        <v>2.6324604616986047E-2</v>
      </c>
      <c r="J55" s="28" cm="1">
        <f t="array" ref="J55">MMULT($B$13:$H$13,J$45:J$51)</f>
        <v>3.5970330395112014E-2</v>
      </c>
      <c r="K55" s="22" cm="1">
        <f t="array" ref="K55">MMULT($B$13:$H$13,K$45:K$51)</f>
        <v>4.2108788596537071E-2</v>
      </c>
      <c r="L55" s="28"/>
      <c r="M55" s="22" cm="1">
        <f t="array" ref="M55">MMULT($B$13:$H$13,M$45:M$51)</f>
        <v>4.0006028675406728E-3</v>
      </c>
      <c r="N55" s="28" cm="1">
        <f t="array" ref="N55">MMULT($B$13:$H$13,N$45:N$51)</f>
        <v>1.1969740040314427E-3</v>
      </c>
      <c r="O55" s="28" cm="1">
        <f t="array" ref="O55">MMULT($B$13:$H$13,O$45:O$51)</f>
        <v>-1.0469340930715958E-3</v>
      </c>
      <c r="P55" s="28" cm="1">
        <f t="array" ref="P55">MMULT($B$13:$H$13,P$45:P$51)</f>
        <v>-3.0484452913069988E-3</v>
      </c>
      <c r="Q55" s="28" cm="1">
        <f t="array" ref="Q55">MMULT($B$13:$H$13,Q$45:Q$51)</f>
        <v>-4.9131426927054595E-3</v>
      </c>
      <c r="R55" s="28" cm="1">
        <f t="array" ref="R55">MMULT($B$13:$H$13,R$45:R$51)</f>
        <v>-6.6899241006203401E-3</v>
      </c>
      <c r="S55" s="28" cm="1">
        <f t="array" ref="S55">MMULT($B$13:$H$13,S$45:S$51)</f>
        <v>-8.4059148081402218E-3</v>
      </c>
      <c r="T55" s="28" cm="1">
        <f t="array" ref="T55">MMULT($B$13:$H$13,T$45:T$51)</f>
        <v>-1.8051638816294055E-2</v>
      </c>
      <c r="U55" s="29" cm="1">
        <f t="array" ref="U55">MMULT($B$13:$H$13,U$45:U$51)</f>
        <v>-2.4189912440580177E-2</v>
      </c>
      <c r="V55" s="18"/>
    </row>
    <row r="56" spans="1:22" x14ac:dyDescent="0.2">
      <c r="A56" s="58" t="s">
        <v>24</v>
      </c>
      <c r="B56" s="27">
        <f>SQRT(B54)</f>
        <v>3.6153712840023507E-2</v>
      </c>
      <c r="C56" s="28">
        <f>SQRT(C54)</f>
        <v>4.0000796397980327E-2</v>
      </c>
      <c r="D56" s="28">
        <f t="shared" ref="D56:K56" si="4">SQRT(D54)</f>
        <v>4.5000997252033624E-2</v>
      </c>
      <c r="E56" s="28">
        <f t="shared" si="4"/>
        <v>5.0000999446549232E-2</v>
      </c>
      <c r="F56" s="28">
        <f t="shared" si="4"/>
        <v>5.5000990349125478E-2</v>
      </c>
      <c r="G56" s="28">
        <f t="shared" si="4"/>
        <v>6.0000999924406634E-2</v>
      </c>
      <c r="H56" s="28">
        <f>SQRT(H54)</f>
        <v>6.5000655047669761E-2</v>
      </c>
      <c r="I56" s="28">
        <f t="shared" si="4"/>
        <v>7.0000357391758486E-2</v>
      </c>
      <c r="J56" s="28">
        <f t="shared" si="4"/>
        <v>0.10000099812941371</v>
      </c>
      <c r="K56" s="22">
        <f t="shared" si="4"/>
        <v>0.12000096658502436</v>
      </c>
      <c r="L56" s="28"/>
      <c r="M56" s="22">
        <f t="shared" ref="M56:U56" si="5">SQRT(M54)</f>
        <v>4.0000999878007322E-2</v>
      </c>
      <c r="N56" s="28">
        <f t="shared" si="5"/>
        <v>4.500084139051868E-2</v>
      </c>
      <c r="O56" s="28">
        <f t="shared" si="5"/>
        <v>5.0000999564621743E-2</v>
      </c>
      <c r="P56" s="28">
        <f t="shared" si="5"/>
        <v>5.5000854456948516E-2</v>
      </c>
      <c r="Q56" s="28">
        <f t="shared" si="5"/>
        <v>6.0000987137583603E-2</v>
      </c>
      <c r="R56" s="28">
        <f t="shared" si="5"/>
        <v>6.5000659909397573E-2</v>
      </c>
      <c r="S56" s="28">
        <f t="shared" si="5"/>
        <v>7.0000999499537878E-2</v>
      </c>
      <c r="T56" s="28">
        <f t="shared" si="5"/>
        <v>0.10000091916385979</v>
      </c>
      <c r="U56" s="29">
        <f t="shared" si="5"/>
        <v>0.12000098569573636</v>
      </c>
      <c r="V56" s="18"/>
    </row>
    <row r="57" spans="1:22" ht="14" customHeight="1" x14ac:dyDescent="0.2">
      <c r="A57" s="59" t="s">
        <v>44</v>
      </c>
      <c r="B57" s="36"/>
      <c r="C57" s="37">
        <v>0.04</v>
      </c>
      <c r="D57" s="37">
        <f>C57+0.5%</f>
        <v>4.4999999999999998E-2</v>
      </c>
      <c r="E57" s="37">
        <f t="shared" ref="E57:I57" si="6">D57+0.5%</f>
        <v>4.9999999999999996E-2</v>
      </c>
      <c r="F57" s="37">
        <f t="shared" si="6"/>
        <v>5.4999999999999993E-2</v>
      </c>
      <c r="G57" s="37">
        <f t="shared" si="6"/>
        <v>5.9999999999999991E-2</v>
      </c>
      <c r="H57" s="37">
        <f t="shared" si="6"/>
        <v>6.4999999999999988E-2</v>
      </c>
      <c r="I57" s="37">
        <f t="shared" si="6"/>
        <v>6.9999999999999993E-2</v>
      </c>
      <c r="J57" s="37">
        <f>10%</f>
        <v>0.1</v>
      </c>
      <c r="K57" s="53">
        <v>0.12</v>
      </c>
      <c r="L57" s="41"/>
      <c r="M57" s="53">
        <f>C57</f>
        <v>0.04</v>
      </c>
      <c r="N57" s="37">
        <f t="shared" ref="N57:U57" si="7">D57</f>
        <v>4.4999999999999998E-2</v>
      </c>
      <c r="O57" s="37">
        <f t="shared" si="7"/>
        <v>4.9999999999999996E-2</v>
      </c>
      <c r="P57" s="37">
        <f t="shared" si="7"/>
        <v>5.4999999999999993E-2</v>
      </c>
      <c r="Q57" s="37">
        <f t="shared" si="7"/>
        <v>5.9999999999999991E-2</v>
      </c>
      <c r="R57" s="37">
        <f t="shared" si="7"/>
        <v>6.4999999999999988E-2</v>
      </c>
      <c r="S57" s="37">
        <f t="shared" si="7"/>
        <v>6.9999999999999993E-2</v>
      </c>
      <c r="T57" s="37">
        <f t="shared" si="7"/>
        <v>0.1</v>
      </c>
      <c r="U57" s="38">
        <f t="shared" si="7"/>
        <v>0.12</v>
      </c>
      <c r="V57" s="15"/>
    </row>
    <row r="58" spans="1:22" ht="14" customHeight="1" x14ac:dyDescent="0.2">
      <c r="A58" s="13"/>
      <c r="C58" s="8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15"/>
    </row>
    <row r="59" spans="1:22" ht="18" customHeight="1" x14ac:dyDescent="0.2">
      <c r="A59" s="13"/>
      <c r="C59" s="8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15"/>
    </row>
    <row r="60" spans="1:22" ht="18" customHeight="1" x14ac:dyDescent="0.2">
      <c r="A60" s="13"/>
      <c r="C60" s="8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15"/>
    </row>
    <row r="61" spans="1:22" ht="18" customHeight="1" x14ac:dyDescent="0.2">
      <c r="A61" s="13"/>
      <c r="C61" s="8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15"/>
    </row>
    <row r="62" spans="1:22" ht="18" customHeight="1" x14ac:dyDescent="0.2">
      <c r="A62" s="13"/>
      <c r="C62" s="8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15"/>
    </row>
    <row r="63" spans="1:22" ht="18" customHeight="1" x14ac:dyDescent="0.2">
      <c r="A63" s="13"/>
      <c r="C63" s="8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15"/>
    </row>
    <row r="64" spans="1:22" ht="18" customHeight="1" x14ac:dyDescent="0.2">
      <c r="A64" s="13"/>
      <c r="C64" s="8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15"/>
    </row>
    <row r="65" spans="1:21" ht="18" customHeight="1" x14ac:dyDescent="0.2">
      <c r="A65" s="13"/>
      <c r="C65" s="8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15"/>
    </row>
    <row r="66" spans="1:21" ht="18" customHeight="1" x14ac:dyDescent="0.2">
      <c r="A66" s="13"/>
      <c r="C66" s="8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15"/>
    </row>
    <row r="67" spans="1:21" ht="18" customHeight="1" x14ac:dyDescent="0.2">
      <c r="A67" s="13"/>
      <c r="C67" s="8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15"/>
    </row>
    <row r="68" spans="1:21" ht="18" customHeight="1" x14ac:dyDescent="0.2">
      <c r="A68" s="13"/>
      <c r="C68" s="8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15"/>
    </row>
    <row r="69" spans="1:21" ht="18" customHeight="1" x14ac:dyDescent="0.2">
      <c r="A69" s="13"/>
      <c r="C69" s="8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15"/>
    </row>
    <row r="70" spans="1:21" ht="18" customHeight="1" x14ac:dyDescent="0.2">
      <c r="A70" s="13"/>
      <c r="C70" s="8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15"/>
    </row>
    <row r="71" spans="1:21" ht="18" customHeight="1" x14ac:dyDescent="0.2">
      <c r="A71" s="13"/>
      <c r="C71" s="8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15"/>
    </row>
    <row r="72" spans="1:21" ht="18" customHeight="1" x14ac:dyDescent="0.2">
      <c r="A72" s="13"/>
      <c r="C72" s="8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15"/>
    </row>
    <row r="73" spans="1:21" ht="18" customHeight="1" x14ac:dyDescent="0.2">
      <c r="A73" s="13"/>
      <c r="C73" s="8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15"/>
    </row>
    <row r="74" spans="1:21" ht="18" customHeight="1" x14ac:dyDescent="0.2">
      <c r="A74" s="13"/>
      <c r="C74" s="8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15"/>
    </row>
    <row r="75" spans="1:21" ht="18" customHeight="1" x14ac:dyDescent="0.2">
      <c r="A75" s="13"/>
      <c r="C75" s="8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15"/>
    </row>
    <row r="76" spans="1:21" ht="18" customHeight="1" x14ac:dyDescent="0.2">
      <c r="A76" s="13"/>
      <c r="C76" s="8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15"/>
    </row>
    <row r="77" spans="1:21" ht="18" customHeight="1" x14ac:dyDescent="0.2">
      <c r="A77" s="13"/>
      <c r="C77" s="8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15"/>
    </row>
    <row r="78" spans="1:21" ht="18" customHeight="1" x14ac:dyDescent="0.2">
      <c r="A78" s="13"/>
      <c r="C78" s="8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15"/>
    </row>
    <row r="79" spans="1:21" ht="18" customHeight="1" x14ac:dyDescent="0.2">
      <c r="A79" s="13"/>
      <c r="C79" s="8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15"/>
    </row>
    <row r="80" spans="1:21" ht="18" customHeight="1" x14ac:dyDescent="0.2">
      <c r="A80" s="13"/>
      <c r="C80" s="8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15"/>
    </row>
    <row r="81" spans="1:21" ht="18" customHeight="1" x14ac:dyDescent="0.2">
      <c r="A81" s="13"/>
      <c r="C81" s="8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15"/>
    </row>
    <row r="82" spans="1:21" ht="18" customHeight="1" x14ac:dyDescent="0.2">
      <c r="A82" s="13"/>
      <c r="C82" s="8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15"/>
    </row>
    <row r="83" spans="1:21" ht="18" customHeight="1" x14ac:dyDescent="0.2">
      <c r="A83" s="13"/>
      <c r="C83" s="8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15"/>
    </row>
    <row r="84" spans="1:21" ht="18" customHeight="1" x14ac:dyDescent="0.2">
      <c r="A84" s="13"/>
      <c r="C84" s="8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15"/>
    </row>
    <row r="85" spans="1:21" ht="18" customHeight="1" x14ac:dyDescent="0.2">
      <c r="A85" s="13"/>
      <c r="C85" s="8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15"/>
    </row>
    <row r="86" spans="1:21" ht="14" customHeight="1" x14ac:dyDescent="0.2">
      <c r="A86" s="13"/>
      <c r="C86" s="8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15"/>
    </row>
    <row r="87" spans="1:21" ht="14" customHeight="1" x14ac:dyDescent="0.2">
      <c r="A87" s="13"/>
      <c r="C87" s="8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15"/>
    </row>
    <row r="88" spans="1:21" ht="14" customHeight="1" x14ac:dyDescent="0.2">
      <c r="A88" s="13"/>
      <c r="C88" s="8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15"/>
    </row>
    <row r="89" spans="1:21" ht="14" customHeight="1" x14ac:dyDescent="0.2">
      <c r="A89" s="13"/>
      <c r="C89" s="8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15"/>
    </row>
    <row r="90" spans="1:21" ht="14" customHeight="1" x14ac:dyDescent="0.2">
      <c r="A90" s="13"/>
      <c r="C90" s="8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15"/>
    </row>
    <row r="91" spans="1:21" ht="14" customHeight="1" x14ac:dyDescent="0.2">
      <c r="A91" s="13"/>
      <c r="C91" s="8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15"/>
    </row>
    <row r="92" spans="1:21" ht="14" customHeight="1" x14ac:dyDescent="0.2">
      <c r="A92" s="13"/>
      <c r="C92" s="8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15"/>
    </row>
    <row r="93" spans="1:21" ht="14" customHeight="1" x14ac:dyDescent="0.2">
      <c r="A93" s="13"/>
      <c r="C93" s="8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15"/>
    </row>
    <row r="94" spans="1:21" ht="14" customHeight="1" x14ac:dyDescent="0.2">
      <c r="A94" s="13"/>
      <c r="C94" s="8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15"/>
    </row>
    <row r="95" spans="1:21" ht="14" customHeight="1" x14ac:dyDescent="0.2">
      <c r="A95" s="13"/>
      <c r="C95" s="8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15"/>
    </row>
    <row r="96" spans="1:21" ht="14" customHeight="1" x14ac:dyDescent="0.2">
      <c r="A96" s="13"/>
      <c r="C96" s="8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15"/>
    </row>
    <row r="97" spans="1:6" x14ac:dyDescent="0.2">
      <c r="A97" t="s">
        <v>37</v>
      </c>
    </row>
    <row r="98" spans="1:6" ht="16" x14ac:dyDescent="0.2">
      <c r="A98" s="81" t="s">
        <v>78</v>
      </c>
      <c r="B98" s="56" t="s">
        <v>52</v>
      </c>
    </row>
    <row r="99" spans="1:6" x14ac:dyDescent="0.2">
      <c r="B99" s="21">
        <v>0.23341055016816578</v>
      </c>
    </row>
    <row r="100" spans="1:6" x14ac:dyDescent="0.2">
      <c r="B100" s="22">
        <v>0.15082851717713674</v>
      </c>
    </row>
    <row r="101" spans="1:6" x14ac:dyDescent="0.2">
      <c r="B101" s="22">
        <v>0.18126636699096571</v>
      </c>
    </row>
    <row r="102" spans="1:6" x14ac:dyDescent="0.2">
      <c r="B102" s="22">
        <v>0.1449815709944012</v>
      </c>
    </row>
    <row r="103" spans="1:6" x14ac:dyDescent="0.2">
      <c r="B103" s="22">
        <v>7.0029799420918207E-2</v>
      </c>
    </row>
    <row r="104" spans="1:6" x14ac:dyDescent="0.2">
      <c r="B104" s="22">
        <v>4.8739532276354719E-2</v>
      </c>
    </row>
    <row r="105" spans="1:6" x14ac:dyDescent="0.2">
      <c r="B105" s="23">
        <v>0.17074366297205767</v>
      </c>
    </row>
    <row r="106" spans="1:6" x14ac:dyDescent="0.2">
      <c r="B106" s="18">
        <f>SUM(B99:B105)</f>
        <v>1</v>
      </c>
      <c r="D106" s="13" t="s">
        <v>53</v>
      </c>
    </row>
    <row r="107" spans="1:6" x14ac:dyDescent="0.2">
      <c r="A107" s="13" t="s">
        <v>73</v>
      </c>
      <c r="D107" s="64" t="s">
        <v>38</v>
      </c>
      <c r="E107" s="65" t="s">
        <v>39</v>
      </c>
      <c r="F107" s="66" t="s">
        <v>40</v>
      </c>
    </row>
    <row r="108" spans="1:6" x14ac:dyDescent="0.2">
      <c r="A108" s="13" t="s">
        <v>36</v>
      </c>
      <c r="B108" s="79">
        <f>(B110-B7)/B111</f>
        <v>0.37239450964854853</v>
      </c>
      <c r="D108" s="83">
        <v>0</v>
      </c>
      <c r="E108" s="41">
        <f>(D108*$B$110)+((1-D108)*$B$7)</f>
        <v>5.0000000000000001E-4</v>
      </c>
      <c r="F108" s="29">
        <f>(D108*$B$111)</f>
        <v>0</v>
      </c>
    </row>
    <row r="109" spans="1:6" x14ac:dyDescent="0.2">
      <c r="A109" s="13" t="s">
        <v>22</v>
      </c>
      <c r="B109" s="39" cm="1">
        <f t="array" ref="B109">MMULT(MMULT(TRANSPOSE(B$99:B$105),$F$19:$L$25),B$99:B$105)</f>
        <v>3.3108067978320499E-3</v>
      </c>
      <c r="D109" s="83">
        <v>0.5</v>
      </c>
      <c r="E109" s="41">
        <f>(D109*$B$110)+((1-D109)*$B$7)</f>
        <v>1.1213717553286486E-2</v>
      </c>
      <c r="F109" s="29">
        <f>(D109*$B$111)</f>
        <v>2.8769805342720212E-2</v>
      </c>
    </row>
    <row r="110" spans="1:6" x14ac:dyDescent="0.2">
      <c r="A110" s="13" t="s">
        <v>23</v>
      </c>
      <c r="B110" s="22" cm="1">
        <f t="array" ref="B110">MMULT($B$13:$H$13,B$99:B$105)</f>
        <v>2.1927435106572971E-2</v>
      </c>
      <c r="D110" s="83">
        <v>1</v>
      </c>
      <c r="E110" s="41">
        <f>(D110*$B$110)+((1-D110)*$B$7)</f>
        <v>2.1927435106572971E-2</v>
      </c>
      <c r="F110" s="29">
        <f>(D110*$B$111)</f>
        <v>5.7539610685440425E-2</v>
      </c>
    </row>
    <row r="111" spans="1:6" x14ac:dyDescent="0.2">
      <c r="A111" s="13" t="s">
        <v>24</v>
      </c>
      <c r="B111" s="23">
        <f>SQRT(B109)</f>
        <v>5.7539610685440425E-2</v>
      </c>
      <c r="D111" s="83">
        <v>2</v>
      </c>
      <c r="E111" s="41">
        <f>(D111*$B$110)+((1-D111)*$B$7)</f>
        <v>4.3354870213145942E-2</v>
      </c>
      <c r="F111" s="29">
        <f>(D111*$B$111)</f>
        <v>0.11507922137088085</v>
      </c>
    </row>
    <row r="112" spans="1:6" x14ac:dyDescent="0.2">
      <c r="D112" s="30">
        <v>2.5</v>
      </c>
      <c r="E112" s="37">
        <f>(D112*$B$110)+((1-D112)*$B$7)</f>
        <v>5.4068587766432426E-2</v>
      </c>
      <c r="F112" s="32">
        <f>(D112*$B$111)</f>
        <v>0.14384902671360106</v>
      </c>
    </row>
    <row r="113" spans="2:11" x14ac:dyDescent="0.2">
      <c r="B113" s="41"/>
      <c r="D113" s="8"/>
    </row>
    <row r="114" spans="2:11" ht="16" x14ac:dyDescent="0.2">
      <c r="D114" s="82" t="s">
        <v>74</v>
      </c>
    </row>
    <row r="115" spans="2:11" x14ac:dyDescent="0.2">
      <c r="D115" s="13" t="s">
        <v>72</v>
      </c>
    </row>
    <row r="116" spans="2:11" x14ac:dyDescent="0.2">
      <c r="D116" s="40"/>
      <c r="E116" s="25" t="str" cm="1">
        <f t="array" ref="E116:K116">F18:L18</f>
        <v>NVIDIA</v>
      </c>
      <c r="F116" s="25" t="str">
        <v>MICROSOFT</v>
      </c>
      <c r="G116" s="25" t="str">
        <v>APPLE</v>
      </c>
      <c r="H116" s="25" t="str">
        <v>AMAZON.COM</v>
      </c>
      <c r="I116" s="25" t="str">
        <v>JOHNSON &amp; JOHNSON</v>
      </c>
      <c r="J116" s="25" t="str">
        <v>ALPHABET 'A'</v>
      </c>
      <c r="K116" s="26" t="str">
        <v>COCA COLA</v>
      </c>
    </row>
    <row r="117" spans="2:11" x14ac:dyDescent="0.2">
      <c r="D117" s="45" t="str" cm="1">
        <f t="array" ref="D117:D123">TRANSPOSE(_xlfn.ANCHORARRAY(E116))</f>
        <v>NVIDIA</v>
      </c>
      <c r="E117">
        <f t="array" ref="E117:K123">MINVERSE(F19:L25)</f>
        <v>90.87857213871186</v>
      </c>
      <c r="F117">
        <v>-58.384384902470984</v>
      </c>
      <c r="G117">
        <v>-36.472565172807329</v>
      </c>
      <c r="H117">
        <v>-18.836830270422482</v>
      </c>
      <c r="I117">
        <v>2.240542488480048</v>
      </c>
      <c r="J117">
        <v>-17.084245506219798</v>
      </c>
      <c r="K117" s="46">
        <v>44.614387505878767</v>
      </c>
    </row>
    <row r="118" spans="2:11" x14ac:dyDescent="0.2">
      <c r="D118" s="45" t="str">
        <v>MICROSOFT</v>
      </c>
      <c r="E118">
        <v>-58.384384902470998</v>
      </c>
      <c r="F118">
        <v>487.92461730175239</v>
      </c>
      <c r="G118">
        <v>-54.89536542386363</v>
      </c>
      <c r="H118">
        <v>-58.371491195616734</v>
      </c>
      <c r="I118">
        <v>-70.464648818034618</v>
      </c>
      <c r="J118">
        <v>-112.96193563436908</v>
      </c>
      <c r="K118" s="46">
        <v>-65.926724767647002</v>
      </c>
    </row>
    <row r="119" spans="2:11" x14ac:dyDescent="0.2">
      <c r="D119" s="45" t="str">
        <v>APPLE</v>
      </c>
      <c r="E119">
        <v>-36.47256517280735</v>
      </c>
      <c r="F119">
        <v>-54.89536542386363</v>
      </c>
      <c r="G119">
        <v>267.16983160991435</v>
      </c>
      <c r="H119">
        <v>-50.896603015281507</v>
      </c>
      <c r="I119">
        <v>-34.631172435861046</v>
      </c>
      <c r="J119">
        <v>-16.990253459441458</v>
      </c>
      <c r="K119" s="46">
        <v>-59.112568130110574</v>
      </c>
    </row>
    <row r="120" spans="2:11" x14ac:dyDescent="0.2">
      <c r="D120" s="45" t="str">
        <v>AMAZON.COM</v>
      </c>
      <c r="E120">
        <v>-18.836830270422464</v>
      </c>
      <c r="F120">
        <v>-58.371491195616699</v>
      </c>
      <c r="G120">
        <v>-50.896603015281499</v>
      </c>
      <c r="H120">
        <v>236.03647343753875</v>
      </c>
      <c r="I120">
        <v>-39.409377109070284</v>
      </c>
      <c r="J120">
        <v>-94.748398144010551</v>
      </c>
      <c r="K120" s="46">
        <v>38.148496831173468</v>
      </c>
    </row>
    <row r="121" spans="2:11" x14ac:dyDescent="0.2">
      <c r="D121" s="45" t="str">
        <v>JOHNSON &amp; JOHNSON</v>
      </c>
      <c r="E121">
        <v>2.2405424884800569</v>
      </c>
      <c r="F121">
        <v>-70.464648818034647</v>
      </c>
      <c r="G121">
        <v>-34.631172435861082</v>
      </c>
      <c r="H121">
        <v>-39.409377109070277</v>
      </c>
      <c r="I121">
        <v>752.60121583527666</v>
      </c>
      <c r="J121">
        <v>56.268269111429987</v>
      </c>
      <c r="K121" s="46">
        <v>-365.63021722417068</v>
      </c>
    </row>
    <row r="122" spans="2:11" x14ac:dyDescent="0.2">
      <c r="D122" s="45" t="str">
        <v>ALPHABET 'A'</v>
      </c>
      <c r="E122">
        <v>-17.084245506219805</v>
      </c>
      <c r="F122">
        <v>-112.96193563436913</v>
      </c>
      <c r="G122">
        <v>-16.990253459441465</v>
      </c>
      <c r="H122">
        <v>-94.748398144010523</v>
      </c>
      <c r="I122">
        <v>56.268269111429994</v>
      </c>
      <c r="J122">
        <v>342.37039891897922</v>
      </c>
      <c r="K122" s="46">
        <v>-85.899800637332675</v>
      </c>
    </row>
    <row r="123" spans="2:11" x14ac:dyDescent="0.2">
      <c r="D123" s="36" t="str">
        <v>COCA COLA</v>
      </c>
      <c r="E123" s="44">
        <v>44.614387505878767</v>
      </c>
      <c r="F123" s="44">
        <v>-65.926724767646974</v>
      </c>
      <c r="G123" s="44">
        <v>-59.11256813011056</v>
      </c>
      <c r="H123" s="44">
        <v>38.148496831173453</v>
      </c>
      <c r="I123" s="44">
        <v>-365.63021722417068</v>
      </c>
      <c r="J123" s="44">
        <v>-85.89980063733266</v>
      </c>
      <c r="K123" s="47">
        <v>786.96636447607625</v>
      </c>
    </row>
    <row r="126" spans="2:11" x14ac:dyDescent="0.2">
      <c r="E126" s="64" t="str">
        <f>E116</f>
        <v>NVIDIA</v>
      </c>
      <c r="F126" s="65" t="str">
        <f t="shared" ref="F126:K126" si="8">F116</f>
        <v>MICROSOFT</v>
      </c>
      <c r="G126" s="65" t="str">
        <f t="shared" si="8"/>
        <v>APPLE</v>
      </c>
      <c r="H126" s="65" t="str">
        <f t="shared" si="8"/>
        <v>AMAZON.COM</v>
      </c>
      <c r="I126" s="65" t="str">
        <f t="shared" si="8"/>
        <v>JOHNSON &amp; JOHNSON</v>
      </c>
      <c r="J126" s="65" t="str">
        <f t="shared" si="8"/>
        <v>ALPHABET 'A'</v>
      </c>
      <c r="K126" s="66" t="str">
        <f t="shared" si="8"/>
        <v>COCA COLA</v>
      </c>
    </row>
    <row r="127" spans="2:11" x14ac:dyDescent="0.2">
      <c r="D127" s="56" t="s">
        <v>54</v>
      </c>
      <c r="E127" s="43">
        <f>B13-$B$7</f>
        <v>4.1158202714180699E-2</v>
      </c>
      <c r="F127" s="63">
        <f t="shared" ref="F127:K127" si="9">C13-$B$7</f>
        <v>1.7352502363475866E-2</v>
      </c>
      <c r="G127" s="63">
        <f t="shared" si="9"/>
        <v>2.0882857462406753E-2</v>
      </c>
      <c r="H127" s="63">
        <f t="shared" si="9"/>
        <v>2.2728866314178042E-2</v>
      </c>
      <c r="I127" s="63">
        <f t="shared" si="9"/>
        <v>5.6560787697085019E-3</v>
      </c>
      <c r="J127" s="63">
        <f t="shared" si="9"/>
        <v>1.6455930642505862E-2</v>
      </c>
      <c r="K127" s="49">
        <f t="shared" si="9"/>
        <v>5.415423776443622E-3</v>
      </c>
    </row>
    <row r="128" spans="2:11" x14ac:dyDescent="0.2">
      <c r="D128" s="13"/>
      <c r="E128" s="45"/>
      <c r="K128" s="46"/>
    </row>
    <row r="129" spans="1:13" x14ac:dyDescent="0.2">
      <c r="D129" s="56" t="s">
        <v>55</v>
      </c>
      <c r="E129" s="75">
        <f t="array" ref="E129:K129">MMULT(E127:K127,E117:K123)</f>
        <v>1.5106336812014451</v>
      </c>
      <c r="F129" s="76">
        <v>0.9761582792835839</v>
      </c>
      <c r="G129" s="76">
        <v>1.1731435581846985</v>
      </c>
      <c r="H129" s="76">
        <v>0.93830809348351951</v>
      </c>
      <c r="I129" s="76">
        <v>0.45322633627519227</v>
      </c>
      <c r="J129" s="76">
        <v>0.3154396672405787</v>
      </c>
      <c r="K129" s="77">
        <v>1.1050489984004042</v>
      </c>
    </row>
    <row r="130" spans="1:13" x14ac:dyDescent="0.2">
      <c r="D130" s="13"/>
      <c r="E130" s="45"/>
      <c r="K130" s="46"/>
    </row>
    <row r="131" spans="1:13" x14ac:dyDescent="0.2">
      <c r="D131" s="56" t="s">
        <v>56</v>
      </c>
      <c r="E131" s="60">
        <f>E129/SUM($E$129:$K$129)</f>
        <v>0.23341213553459245</v>
      </c>
      <c r="F131" s="61">
        <f t="shared" ref="F131:K131" si="10">F129/SUM($E$129:$K$129)</f>
        <v>0.15082888156322702</v>
      </c>
      <c r="G131" s="61">
        <f t="shared" si="10"/>
        <v>0.18126561496150423</v>
      </c>
      <c r="H131" s="61">
        <f t="shared" si="10"/>
        <v>0.14498054598861726</v>
      </c>
      <c r="I131" s="61">
        <f t="shared" si="10"/>
        <v>7.0029238952474343E-2</v>
      </c>
      <c r="J131" s="61">
        <f t="shared" si="10"/>
        <v>4.8739444432608525E-2</v>
      </c>
      <c r="K131" s="62">
        <f t="shared" si="10"/>
        <v>0.17074413856697609</v>
      </c>
      <c r="L131" s="48" t="s">
        <v>65</v>
      </c>
      <c r="M131" s="49">
        <f>SUM(E131:K131)</f>
        <v>1</v>
      </c>
    </row>
    <row r="132" spans="1:13" x14ac:dyDescent="0.2">
      <c r="C132" s="13" t="s">
        <v>74</v>
      </c>
    </row>
    <row r="133" spans="1:13" x14ac:dyDescent="0.2">
      <c r="C133" s="64" t="s">
        <v>57</v>
      </c>
      <c r="D133" s="50">
        <f>SUMPRODUCT(E131:K131,B13:H13)</f>
        <v>2.1927465638616507E-2</v>
      </c>
    </row>
    <row r="134" spans="1:13" x14ac:dyDescent="0.2">
      <c r="C134" s="67" t="s">
        <v>17</v>
      </c>
      <c r="D134" s="51" cm="1">
        <f t="array" ref="D134">MMULT(MMULT(E131:K131,F19:L25),TRANSPOSE(E131:K131))</f>
        <v>3.3108162329770212E-3</v>
      </c>
    </row>
    <row r="135" spans="1:13" x14ac:dyDescent="0.2">
      <c r="C135" s="67" t="s">
        <v>40</v>
      </c>
      <c r="D135" s="29">
        <f>SQRT(D134)</f>
        <v>5.7539692673640702E-2</v>
      </c>
    </row>
    <row r="136" spans="1:13" x14ac:dyDescent="0.2">
      <c r="C136" s="68" t="s">
        <v>67</v>
      </c>
      <c r="D136" s="80">
        <f>(D133-B7)/D135</f>
        <v>0.37239450965007614</v>
      </c>
    </row>
    <row r="143" spans="1:13" x14ac:dyDescent="0.2">
      <c r="A143" t="s">
        <v>75</v>
      </c>
    </row>
    <row r="152" spans="2:9" x14ac:dyDescent="0.2">
      <c r="B152" s="13" t="s">
        <v>68</v>
      </c>
      <c r="C152" s="52">
        <v>5.0000000000000001E-4</v>
      </c>
    </row>
    <row r="153" spans="2:9" x14ac:dyDescent="0.2">
      <c r="B153" s="13" t="s">
        <v>58</v>
      </c>
      <c r="C153" s="53">
        <f>'Assignment 2'!D133</f>
        <v>2.1927465638616507E-2</v>
      </c>
    </row>
    <row r="154" spans="2:9" x14ac:dyDescent="0.2">
      <c r="B154" s="13"/>
      <c r="C154" s="41"/>
    </row>
    <row r="155" spans="2:9" x14ac:dyDescent="0.2">
      <c r="B155" s="13" t="s">
        <v>56</v>
      </c>
      <c r="C155" s="43">
        <f t="array" ref="C155:I155">E131:K131</f>
        <v>0.23341213553459245</v>
      </c>
      <c r="D155" s="63">
        <v>0.15082888156322702</v>
      </c>
      <c r="E155" s="63">
        <v>0.18126561496150423</v>
      </c>
      <c r="F155" s="63">
        <v>0.14498054598861726</v>
      </c>
      <c r="G155" s="63">
        <v>7.0029238952474343E-2</v>
      </c>
      <c r="H155" s="63">
        <v>4.8739444432608525E-2</v>
      </c>
      <c r="I155" s="49">
        <v>0.17074413856697609</v>
      </c>
    </row>
    <row r="156" spans="2:9" x14ac:dyDescent="0.2">
      <c r="B156" s="13"/>
      <c r="C156" s="41"/>
    </row>
    <row r="157" spans="2:9" x14ac:dyDescent="0.2">
      <c r="B157" s="13"/>
    </row>
    <row r="158" spans="2:9" x14ac:dyDescent="0.2">
      <c r="B158" s="13" t="s">
        <v>76</v>
      </c>
      <c r="C158" s="54">
        <f>D134</f>
        <v>3.3108162329770212E-3</v>
      </c>
    </row>
    <row r="159" spans="2:9" x14ac:dyDescent="0.2">
      <c r="B159" s="13" t="s">
        <v>77</v>
      </c>
      <c r="C159" s="20">
        <f>D135</f>
        <v>5.7539692673640702E-2</v>
      </c>
    </row>
    <row r="160" spans="2:9" x14ac:dyDescent="0.2">
      <c r="B160" s="13"/>
    </row>
    <row r="161" spans="2:10" x14ac:dyDescent="0.2">
      <c r="B161" s="13" t="s">
        <v>36</v>
      </c>
      <c r="C161" s="78">
        <f>B108</f>
        <v>0.37239450964854853</v>
      </c>
    </row>
    <row r="162" spans="2:10" x14ac:dyDescent="0.2">
      <c r="B162" s="13"/>
    </row>
    <row r="163" spans="2:10" x14ac:dyDescent="0.2">
      <c r="B163" s="13" t="s">
        <v>59</v>
      </c>
      <c r="C163" s="11" t="s">
        <v>71</v>
      </c>
    </row>
    <row r="164" spans="2:10" x14ac:dyDescent="0.2">
      <c r="B164" s="13" t="s">
        <v>60</v>
      </c>
      <c r="C164" s="11">
        <v>4</v>
      </c>
    </row>
    <row r="165" spans="2:10" x14ac:dyDescent="0.2">
      <c r="B165" s="13"/>
    </row>
    <row r="166" spans="2:10" x14ac:dyDescent="0.2">
      <c r="B166" s="13" t="s">
        <v>61</v>
      </c>
      <c r="C166" s="69">
        <f>(C153-C152)/(C164*C158)</f>
        <v>1.6179896535173555</v>
      </c>
    </row>
    <row r="167" spans="2:10" x14ac:dyDescent="0.2">
      <c r="B167" s="13" t="s">
        <v>62</v>
      </c>
      <c r="C167" s="20">
        <f>(1-C166)</f>
        <v>-0.61798965351735546</v>
      </c>
    </row>
    <row r="168" spans="2:10" x14ac:dyDescent="0.2">
      <c r="B168" s="13"/>
      <c r="C168" s="55"/>
    </row>
    <row r="169" spans="2:10" x14ac:dyDescent="0.2">
      <c r="B169" s="13" t="s">
        <v>63</v>
      </c>
      <c r="C169" s="70">
        <f>C166*C153+C167*C152</f>
        <v>3.5169417704380167E-2</v>
      </c>
    </row>
    <row r="170" spans="2:10" x14ac:dyDescent="0.2">
      <c r="B170" s="13"/>
    </row>
    <row r="171" spans="2:10" x14ac:dyDescent="0.2">
      <c r="B171" s="13" t="s">
        <v>64</v>
      </c>
      <c r="C171" s="70">
        <f>C159*C166</f>
        <v>9.3098627412519036E-2</v>
      </c>
    </row>
    <row r="172" spans="2:10" x14ac:dyDescent="0.2">
      <c r="B172" s="13"/>
      <c r="C172" s="42"/>
    </row>
    <row r="173" spans="2:10" x14ac:dyDescent="0.2">
      <c r="B173" s="13"/>
      <c r="C173" s="56" t="str">
        <f>E126</f>
        <v>NVIDIA</v>
      </c>
      <c r="D173" s="56" t="str">
        <f t="shared" ref="D173:H173" si="11">F126</f>
        <v>MICROSOFT</v>
      </c>
      <c r="E173" s="56" t="str">
        <f t="shared" si="11"/>
        <v>APPLE</v>
      </c>
      <c r="F173" s="56" t="str">
        <f t="shared" si="11"/>
        <v>AMAZON.COM</v>
      </c>
      <c r="G173" s="56" t="str">
        <f t="shared" si="11"/>
        <v>JOHNSON &amp; JOHNSON</v>
      </c>
      <c r="H173" s="56" t="str">
        <f t="shared" si="11"/>
        <v>ALPHABET 'A'</v>
      </c>
      <c r="I173" s="56" t="str">
        <f>K126</f>
        <v>COCA COLA</v>
      </c>
      <c r="J173" s="56" t="s">
        <v>68</v>
      </c>
    </row>
    <row r="174" spans="2:10" x14ac:dyDescent="0.2">
      <c r="B174" s="13" t="s">
        <v>19</v>
      </c>
      <c r="C174" s="70">
        <f>$C$166*C155</f>
        <v>0.37765842030036123</v>
      </c>
      <c r="D174" s="70">
        <f t="shared" ref="D174:I174" si="12">$C$166*D155</f>
        <v>0.24403956982089592</v>
      </c>
      <c r="E174" s="70">
        <f t="shared" si="12"/>
        <v>0.29328588954617457</v>
      </c>
      <c r="F174" s="70">
        <f t="shared" si="12"/>
        <v>0.23457702337087985</v>
      </c>
      <c r="G174" s="20">
        <f t="shared" si="12"/>
        <v>0.11330658406879805</v>
      </c>
      <c r="H174" s="20">
        <f t="shared" si="12"/>
        <v>7.8859916810144662E-2</v>
      </c>
      <c r="I174" s="20">
        <f t="shared" si="12"/>
        <v>0.27626224960010098</v>
      </c>
      <c r="J174" s="20">
        <f>C167</f>
        <v>-0.61798965351735546</v>
      </c>
    </row>
    <row r="175" spans="2:10" x14ac:dyDescent="0.2">
      <c r="B175" s="13" t="s">
        <v>65</v>
      </c>
      <c r="C175" s="36"/>
      <c r="D175" s="44"/>
      <c r="E175" s="44"/>
      <c r="F175" s="44"/>
      <c r="G175" s="44"/>
      <c r="H175" s="44"/>
      <c r="I175" s="44"/>
      <c r="J175" s="38">
        <f>SUM(C174:J174)</f>
        <v>1</v>
      </c>
    </row>
    <row r="177" spans="2:3" x14ac:dyDescent="0.2">
      <c r="B177" s="13" t="s">
        <v>66</v>
      </c>
      <c r="C177" s="7">
        <f>C169-0.5*(C164)*(C171^2)</f>
        <v>1.7834708852190084E-2</v>
      </c>
    </row>
  </sheetData>
  <phoneticPr fontId="6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0D832-9FE3-4AF7-9439-79AF3F9B585D}">
  <sheetPr>
    <tabColor theme="9"/>
  </sheetPr>
  <dimension ref="A1:W188"/>
  <sheetViews>
    <sheetView topLeftCell="D149" zoomScale="98" workbookViewId="0">
      <selection activeCell="P12" sqref="P12"/>
    </sheetView>
  </sheetViews>
  <sheetFormatPr baseColWidth="10" defaultColWidth="8.83203125" defaultRowHeight="15" x14ac:dyDescent="0.2"/>
  <cols>
    <col min="1" max="1" width="10.5" bestFit="1" customWidth="1"/>
    <col min="2" max="2" width="6.83203125" bestFit="1" customWidth="1"/>
    <col min="3" max="3" width="13.5" bestFit="1" customWidth="1"/>
    <col min="4" max="4" width="6.83203125" customWidth="1"/>
    <col min="5" max="5" width="14.5" bestFit="1" customWidth="1"/>
    <col min="6" max="6" width="10.83203125" bestFit="1" customWidth="1"/>
    <col min="7" max="9" width="10.83203125" customWidth="1"/>
    <col min="10" max="10" width="7.83203125" bestFit="1" customWidth="1"/>
    <col min="11" max="13" width="7.83203125" customWidth="1"/>
    <col min="14" max="14" width="12.6640625" bestFit="1" customWidth="1"/>
    <col min="15" max="15" width="15" bestFit="1" customWidth="1"/>
    <col min="16" max="16" width="17.1640625" bestFit="1" customWidth="1"/>
    <col min="17" max="17" width="13.5" bestFit="1" customWidth="1"/>
    <col min="18" max="18" width="14.5" bestFit="1" customWidth="1"/>
    <col min="19" max="20" width="10.83203125" customWidth="1"/>
    <col min="21" max="22" width="7.83203125" customWidth="1"/>
    <col min="23" max="23" width="15" bestFit="1" customWidth="1"/>
  </cols>
  <sheetData>
    <row r="1" spans="1:23" x14ac:dyDescent="0.2">
      <c r="A1" t="s">
        <v>16</v>
      </c>
      <c r="B1" s="2" t="s">
        <v>0</v>
      </c>
      <c r="C1" s="4" t="s">
        <v>9</v>
      </c>
      <c r="D1" s="2" t="s">
        <v>1</v>
      </c>
      <c r="E1" s="4" t="s">
        <v>10</v>
      </c>
      <c r="F1" s="2" t="s">
        <v>2</v>
      </c>
      <c r="G1" s="4" t="s">
        <v>11</v>
      </c>
      <c r="H1" s="2" t="s">
        <v>3</v>
      </c>
      <c r="I1" s="4" t="s">
        <v>12</v>
      </c>
      <c r="J1" s="2" t="s">
        <v>5</v>
      </c>
      <c r="K1" s="4" t="s">
        <v>13</v>
      </c>
      <c r="L1" s="2" t="s">
        <v>4</v>
      </c>
      <c r="M1" s="4" t="s">
        <v>14</v>
      </c>
      <c r="N1" s="2" t="s">
        <v>6</v>
      </c>
      <c r="O1" s="5" t="s">
        <v>15</v>
      </c>
      <c r="P1" s="2"/>
      <c r="Q1" s="4" t="s">
        <v>9</v>
      </c>
      <c r="R1" s="4" t="s">
        <v>10</v>
      </c>
      <c r="S1" s="4" t="s">
        <v>11</v>
      </c>
      <c r="T1" s="4" t="s">
        <v>12</v>
      </c>
      <c r="U1" s="4" t="s">
        <v>13</v>
      </c>
      <c r="V1" s="4" t="s">
        <v>14</v>
      </c>
      <c r="W1" s="5" t="s">
        <v>15</v>
      </c>
    </row>
    <row r="2" spans="1:23" x14ac:dyDescent="0.2">
      <c r="A2" s="1">
        <v>40207</v>
      </c>
      <c r="B2">
        <v>0.38474999999999998</v>
      </c>
      <c r="D2">
        <v>28.18</v>
      </c>
      <c r="F2">
        <v>6.8593859979999996</v>
      </c>
      <c r="H2">
        <v>6.2705000000000002</v>
      </c>
      <c r="J2">
        <v>62.86</v>
      </c>
      <c r="L2">
        <v>13.261451142</v>
      </c>
      <c r="N2">
        <v>27.125</v>
      </c>
    </row>
    <row r="3" spans="1:23" x14ac:dyDescent="0.2">
      <c r="A3" s="1">
        <v>40235</v>
      </c>
      <c r="B3">
        <v>0.40500000000000003</v>
      </c>
      <c r="C3">
        <f>(B3-B2)/B2</f>
        <v>5.2631578947368543E-2</v>
      </c>
      <c r="D3">
        <v>28.67</v>
      </c>
      <c r="E3">
        <f>(D3-D2)/D2</f>
        <v>1.7388218594748119E-2</v>
      </c>
      <c r="F3">
        <v>7.3078498349999998</v>
      </c>
      <c r="G3">
        <f>(F3-F2)/F2</f>
        <v>6.5379588950200421E-2</v>
      </c>
      <c r="H3">
        <v>5.92</v>
      </c>
      <c r="I3">
        <f>(H3-H2)/H2</f>
        <v>-5.5896658958615779E-2</v>
      </c>
      <c r="J3">
        <v>63</v>
      </c>
      <c r="K3">
        <f>(J3-J2)/J2</f>
        <v>2.2271714922049088E-3</v>
      </c>
      <c r="L3">
        <v>13.1827749</v>
      </c>
      <c r="M3">
        <f>(L3-L2)/L2</f>
        <v>-5.9327023232643621E-3</v>
      </c>
      <c r="N3">
        <v>26.36</v>
      </c>
      <c r="O3">
        <f>(N3-N2)/N2</f>
        <v>-2.8202764976958547E-2</v>
      </c>
      <c r="Q3">
        <v>5.2631578947368543E-2</v>
      </c>
      <c r="R3">
        <v>1.7388218594748119E-2</v>
      </c>
      <c r="S3">
        <v>6.5379588950200421E-2</v>
      </c>
      <c r="T3">
        <v>-5.5896658958615779E-2</v>
      </c>
      <c r="U3">
        <v>2.2271714922049088E-3</v>
      </c>
      <c r="V3">
        <v>-5.9327023232643621E-3</v>
      </c>
      <c r="W3">
        <v>-2.8202764976958547E-2</v>
      </c>
    </row>
    <row r="4" spans="1:23" x14ac:dyDescent="0.2">
      <c r="A4" s="1">
        <v>40268</v>
      </c>
      <c r="B4">
        <v>0.435</v>
      </c>
      <c r="C4">
        <f t="shared" ref="C4:C67" si="0">(B4-B3)/B3</f>
        <v>7.4074074074074001E-2</v>
      </c>
      <c r="D4">
        <v>29.287500000000001</v>
      </c>
      <c r="E4">
        <f t="shared" ref="E4:E67" si="1">(D4-D3)/D3</f>
        <v>2.1538193233344948E-2</v>
      </c>
      <c r="F4">
        <v>8.3928487500000006</v>
      </c>
      <c r="G4">
        <f t="shared" ref="G4:G67" si="2">(F4-F3)/F3</f>
        <v>0.14847033525559586</v>
      </c>
      <c r="H4">
        <v>6.7885</v>
      </c>
      <c r="I4">
        <f t="shared" ref="I4:I67" si="3">(H4-H3)/H3</f>
        <v>0.1467060810810811</v>
      </c>
      <c r="J4">
        <v>65.2</v>
      </c>
      <c r="K4">
        <f t="shared" ref="K4:K67" si="4">(J4-J3)/J3</f>
        <v>3.4920634920634963E-2</v>
      </c>
      <c r="L4">
        <v>14.191752660000001</v>
      </c>
      <c r="M4">
        <f t="shared" ref="M4:M67" si="5">(L4-L3)/L3</f>
        <v>7.6537585421412341E-2</v>
      </c>
      <c r="N4">
        <v>27.5</v>
      </c>
      <c r="O4">
        <f t="shared" ref="O4:O67" si="6">(N4-N3)/N3</f>
        <v>4.3247344461305029E-2</v>
      </c>
      <c r="Q4">
        <v>7.4074074074074001E-2</v>
      </c>
      <c r="R4">
        <v>2.1538193233344948E-2</v>
      </c>
      <c r="S4">
        <v>0.14847033525559586</v>
      </c>
      <c r="T4">
        <v>0.1467060810810811</v>
      </c>
      <c r="U4">
        <v>3.4920634920634963E-2</v>
      </c>
      <c r="V4">
        <v>7.6537585421412341E-2</v>
      </c>
      <c r="W4">
        <v>4.3247344461305029E-2</v>
      </c>
    </row>
    <row r="5" spans="1:23" x14ac:dyDescent="0.2">
      <c r="A5" s="1">
        <v>40298</v>
      </c>
      <c r="B5">
        <v>0.39274999999999999</v>
      </c>
      <c r="C5">
        <f t="shared" si="0"/>
        <v>-9.7126436781609218E-2</v>
      </c>
      <c r="D5">
        <v>30.535</v>
      </c>
      <c r="E5">
        <f t="shared" si="1"/>
        <v>4.2594963721724242E-2</v>
      </c>
      <c r="F5">
        <v>9.3246335330000001</v>
      </c>
      <c r="G5">
        <f t="shared" si="2"/>
        <v>0.11102127665531913</v>
      </c>
      <c r="H5">
        <v>6.8550000000000004</v>
      </c>
      <c r="I5">
        <f t="shared" si="3"/>
        <v>9.7959784930397656E-3</v>
      </c>
      <c r="J5">
        <v>64.3</v>
      </c>
      <c r="K5">
        <f t="shared" si="4"/>
        <v>-1.3803680981595179E-2</v>
      </c>
      <c r="L5">
        <v>13.155123103999999</v>
      </c>
      <c r="M5">
        <f t="shared" si="5"/>
        <v>-7.3044505554397191E-2</v>
      </c>
      <c r="N5">
        <v>26.725000000000001</v>
      </c>
      <c r="O5">
        <f t="shared" si="6"/>
        <v>-2.8181818181818131E-2</v>
      </c>
      <c r="Q5">
        <v>-9.7126436781609218E-2</v>
      </c>
      <c r="R5">
        <v>4.2594963721724242E-2</v>
      </c>
      <c r="S5">
        <v>0.11102127665531913</v>
      </c>
      <c r="T5">
        <v>9.7959784930397656E-3</v>
      </c>
      <c r="U5">
        <v>-1.3803680981595179E-2</v>
      </c>
      <c r="V5">
        <v>-7.3044505554397191E-2</v>
      </c>
      <c r="W5">
        <v>-2.8181818181818131E-2</v>
      </c>
    </row>
    <row r="6" spans="1:23" x14ac:dyDescent="0.2">
      <c r="A6" s="1">
        <v>40326</v>
      </c>
      <c r="B6">
        <v>0.32850000000000001</v>
      </c>
      <c r="C6">
        <f t="shared" si="0"/>
        <v>-0.16359007001909606</v>
      </c>
      <c r="D6">
        <v>25.8</v>
      </c>
      <c r="E6">
        <f t="shared" si="1"/>
        <v>-0.15506795480596036</v>
      </c>
      <c r="F6">
        <v>9.1742765399999993</v>
      </c>
      <c r="G6">
        <f t="shared" si="2"/>
        <v>-1.6124708007868135E-2</v>
      </c>
      <c r="H6">
        <v>6.2729999999999997</v>
      </c>
      <c r="I6">
        <f t="shared" si="3"/>
        <v>-8.4901531728665311E-2</v>
      </c>
      <c r="J6">
        <v>58.3</v>
      </c>
      <c r="K6">
        <f t="shared" si="4"/>
        <v>-9.3312597200622086E-2</v>
      </c>
      <c r="L6">
        <v>12.152526527999999</v>
      </c>
      <c r="M6">
        <f t="shared" si="5"/>
        <v>-7.6213393677414282E-2</v>
      </c>
      <c r="N6">
        <v>25.7</v>
      </c>
      <c r="O6">
        <f t="shared" si="6"/>
        <v>-3.8353601496725988E-2</v>
      </c>
      <c r="Q6">
        <v>-0.16359007001909606</v>
      </c>
      <c r="R6">
        <v>-0.15506795480596036</v>
      </c>
      <c r="S6">
        <v>-1.6124708007868135E-2</v>
      </c>
      <c r="T6">
        <v>-8.4901531728665311E-2</v>
      </c>
      <c r="U6">
        <v>-9.3312597200622086E-2</v>
      </c>
      <c r="V6">
        <v>-7.6213393677414282E-2</v>
      </c>
      <c r="W6">
        <v>-3.8353601496725988E-2</v>
      </c>
    </row>
    <row r="7" spans="1:23" x14ac:dyDescent="0.2">
      <c r="A7" s="1">
        <v>40359</v>
      </c>
      <c r="B7">
        <v>0.25524999999999998</v>
      </c>
      <c r="C7">
        <f t="shared" si="0"/>
        <v>-0.22298325722983267</v>
      </c>
      <c r="D7">
        <v>23.01</v>
      </c>
      <c r="E7">
        <f t="shared" si="1"/>
        <v>-0.1081395348837209</v>
      </c>
      <c r="F7">
        <v>8.9832053030000001</v>
      </c>
      <c r="G7">
        <f t="shared" si="2"/>
        <v>-2.0826845165057471E-2</v>
      </c>
      <c r="H7">
        <v>5.4630000000000001</v>
      </c>
      <c r="I7">
        <f t="shared" si="3"/>
        <v>-0.12912482065997125</v>
      </c>
      <c r="J7">
        <v>59.06</v>
      </c>
      <c r="K7">
        <f t="shared" si="4"/>
        <v>1.3036020583190483E-2</v>
      </c>
      <c r="L7">
        <v>11.134540038000001</v>
      </c>
      <c r="M7">
        <f t="shared" si="5"/>
        <v>-8.3767477294084416E-2</v>
      </c>
      <c r="N7">
        <v>25.06</v>
      </c>
      <c r="O7">
        <f t="shared" si="6"/>
        <v>-2.4902723735408583E-2</v>
      </c>
      <c r="Q7">
        <v>-0.22298325722983267</v>
      </c>
      <c r="R7">
        <v>-0.1081395348837209</v>
      </c>
      <c r="S7">
        <v>-2.0826845165057471E-2</v>
      </c>
      <c r="T7">
        <v>-0.12912482065997125</v>
      </c>
      <c r="U7">
        <v>1.3036020583190483E-2</v>
      </c>
      <c r="V7">
        <v>-8.3767477294084416E-2</v>
      </c>
      <c r="W7">
        <v>-2.4902723735408583E-2</v>
      </c>
    </row>
    <row r="8" spans="1:23" x14ac:dyDescent="0.2">
      <c r="A8" s="1">
        <v>40389</v>
      </c>
      <c r="B8">
        <v>0.22975000000000001</v>
      </c>
      <c r="C8">
        <f t="shared" si="0"/>
        <v>-9.9902056807051789E-2</v>
      </c>
      <c r="D8">
        <v>25.81</v>
      </c>
      <c r="E8">
        <f t="shared" si="1"/>
        <v>0.12168622338113851</v>
      </c>
      <c r="F8">
        <v>9.1874908130000001</v>
      </c>
      <c r="G8">
        <f t="shared" si="2"/>
        <v>2.2740826142732994E-2</v>
      </c>
      <c r="H8">
        <v>5.8944999999999999</v>
      </c>
      <c r="I8">
        <f t="shared" si="3"/>
        <v>7.8985905180303823E-2</v>
      </c>
      <c r="J8">
        <v>58.09</v>
      </c>
      <c r="K8">
        <f t="shared" si="4"/>
        <v>-1.6423975618015556E-2</v>
      </c>
      <c r="L8">
        <v>12.133007613</v>
      </c>
      <c r="M8">
        <f t="shared" si="5"/>
        <v>8.9672996961924378E-2</v>
      </c>
      <c r="N8">
        <v>27.555</v>
      </c>
      <c r="O8">
        <f t="shared" si="6"/>
        <v>9.9561053471668048E-2</v>
      </c>
      <c r="Q8">
        <v>-9.9902056807051789E-2</v>
      </c>
      <c r="R8">
        <v>0.12168622338113851</v>
      </c>
      <c r="S8">
        <v>2.2740826142732994E-2</v>
      </c>
      <c r="T8">
        <v>7.8985905180303823E-2</v>
      </c>
      <c r="U8">
        <v>-1.6423975618015556E-2</v>
      </c>
      <c r="V8">
        <v>8.9672996961924378E-2</v>
      </c>
      <c r="W8">
        <v>9.9561053471668048E-2</v>
      </c>
    </row>
    <row r="9" spans="1:23" x14ac:dyDescent="0.2">
      <c r="A9" s="1">
        <v>40421</v>
      </c>
      <c r="B9">
        <v>0.233125</v>
      </c>
      <c r="C9">
        <f t="shared" si="0"/>
        <v>1.4689880304678951E-2</v>
      </c>
      <c r="D9">
        <v>23.465</v>
      </c>
      <c r="E9">
        <f t="shared" si="1"/>
        <v>-9.0856257264626081E-2</v>
      </c>
      <c r="F9">
        <v>8.6821341749999998</v>
      </c>
      <c r="G9">
        <f t="shared" si="2"/>
        <v>-5.500485913792013E-2</v>
      </c>
      <c r="H9">
        <v>6.2415000000000003</v>
      </c>
      <c r="I9">
        <f t="shared" si="3"/>
        <v>5.8868436678259466E-2</v>
      </c>
      <c r="J9">
        <v>57.02</v>
      </c>
      <c r="K9">
        <f t="shared" si="4"/>
        <v>-1.8419693578929253E-2</v>
      </c>
      <c r="L9">
        <v>11.261412985</v>
      </c>
      <c r="M9">
        <f t="shared" si="5"/>
        <v>-7.1836650548716699E-2</v>
      </c>
      <c r="N9">
        <v>27.94125</v>
      </c>
      <c r="O9">
        <f t="shared" si="6"/>
        <v>1.4017419706042476E-2</v>
      </c>
      <c r="Q9">
        <v>1.4689880304678951E-2</v>
      </c>
      <c r="R9">
        <v>-9.0856257264626081E-2</v>
      </c>
      <c r="S9">
        <v>-5.500485913792013E-2</v>
      </c>
      <c r="T9">
        <v>5.8868436678259466E-2</v>
      </c>
      <c r="U9">
        <v>-1.8419693578929253E-2</v>
      </c>
      <c r="V9">
        <v>-7.1836650548716699E-2</v>
      </c>
      <c r="W9">
        <v>1.4017419706042476E-2</v>
      </c>
    </row>
    <row r="10" spans="1:23" x14ac:dyDescent="0.2">
      <c r="A10" s="1">
        <v>40451</v>
      </c>
      <c r="B10">
        <v>0.29204999999999998</v>
      </c>
      <c r="C10">
        <f t="shared" si="0"/>
        <v>0.25276139410187659</v>
      </c>
      <c r="D10">
        <v>24.49</v>
      </c>
      <c r="E10">
        <f t="shared" si="1"/>
        <v>4.3682079693159966E-2</v>
      </c>
      <c r="F10">
        <v>10.133918438</v>
      </c>
      <c r="G10">
        <f t="shared" si="2"/>
        <v>0.16721513786096268</v>
      </c>
      <c r="H10">
        <v>7.8529999999999998</v>
      </c>
      <c r="I10">
        <f t="shared" si="3"/>
        <v>0.25819113995033238</v>
      </c>
      <c r="J10">
        <v>61.96</v>
      </c>
      <c r="K10">
        <f t="shared" si="4"/>
        <v>8.6636267976148679E-2</v>
      </c>
      <c r="L10">
        <v>13.157500408000001</v>
      </c>
      <c r="M10">
        <f t="shared" si="5"/>
        <v>0.16837029469797044</v>
      </c>
      <c r="N10">
        <v>29.26</v>
      </c>
      <c r="O10">
        <f t="shared" si="6"/>
        <v>4.7197244217778427E-2</v>
      </c>
      <c r="Q10">
        <v>0.25276139410187659</v>
      </c>
      <c r="R10">
        <v>4.3682079693159966E-2</v>
      </c>
      <c r="S10">
        <v>0.16721513786096268</v>
      </c>
      <c r="T10">
        <v>0.25819113995033238</v>
      </c>
      <c r="U10">
        <v>8.6636267976148679E-2</v>
      </c>
      <c r="V10">
        <v>0.16837029469797044</v>
      </c>
      <c r="W10">
        <v>4.7197244217778427E-2</v>
      </c>
    </row>
    <row r="11" spans="1:23" x14ac:dyDescent="0.2">
      <c r="A11" s="1">
        <v>40480</v>
      </c>
      <c r="B11">
        <v>0.30051250000000002</v>
      </c>
      <c r="C11">
        <f t="shared" si="0"/>
        <v>2.8976202705016402E-2</v>
      </c>
      <c r="D11">
        <v>26.664999999999999</v>
      </c>
      <c r="E11">
        <f t="shared" si="1"/>
        <v>8.8811759902000853E-2</v>
      </c>
      <c r="F11">
        <v>10.749274965</v>
      </c>
      <c r="G11">
        <f t="shared" si="2"/>
        <v>6.0722466908017109E-2</v>
      </c>
      <c r="H11">
        <v>8.2614999999999998</v>
      </c>
      <c r="I11">
        <f t="shared" si="3"/>
        <v>5.2018336941296331E-2</v>
      </c>
      <c r="J11">
        <v>63.74</v>
      </c>
      <c r="K11">
        <f t="shared" si="4"/>
        <v>2.8728211749515835E-2</v>
      </c>
      <c r="L11">
        <v>15.357382225</v>
      </c>
      <c r="M11">
        <f t="shared" si="5"/>
        <v>0.16719602878844916</v>
      </c>
      <c r="N11">
        <v>30.66</v>
      </c>
      <c r="O11">
        <f t="shared" si="6"/>
        <v>4.7846889952153061E-2</v>
      </c>
      <c r="Q11">
        <v>2.8976202705016402E-2</v>
      </c>
      <c r="R11">
        <v>8.8811759902000853E-2</v>
      </c>
      <c r="S11">
        <v>6.0722466908017109E-2</v>
      </c>
      <c r="T11">
        <v>5.2018336941296331E-2</v>
      </c>
      <c r="U11">
        <v>2.8728211749515835E-2</v>
      </c>
      <c r="V11">
        <v>0.16719602878844916</v>
      </c>
      <c r="W11">
        <v>4.7846889952153061E-2</v>
      </c>
    </row>
    <row r="12" spans="1:23" x14ac:dyDescent="0.2">
      <c r="A12" s="1">
        <v>40512</v>
      </c>
      <c r="B12">
        <v>0.340225</v>
      </c>
      <c r="C12">
        <f t="shared" si="0"/>
        <v>0.13214924503972375</v>
      </c>
      <c r="D12">
        <v>25.2575</v>
      </c>
      <c r="E12">
        <f t="shared" si="1"/>
        <v>-5.2784549034314607E-2</v>
      </c>
      <c r="F12">
        <v>11.112488888</v>
      </c>
      <c r="G12">
        <f t="shared" si="2"/>
        <v>3.3789620619310297E-2</v>
      </c>
      <c r="H12">
        <v>8.77</v>
      </c>
      <c r="I12">
        <f t="shared" si="3"/>
        <v>6.1550565877867183E-2</v>
      </c>
      <c r="J12">
        <v>61.55</v>
      </c>
      <c r="K12">
        <f t="shared" si="4"/>
        <v>-3.4358330718544161E-2</v>
      </c>
      <c r="L12">
        <v>13.906225967999999</v>
      </c>
      <c r="M12">
        <f t="shared" si="5"/>
        <v>-9.4492422975426787E-2</v>
      </c>
      <c r="N12">
        <v>31.585000000000001</v>
      </c>
      <c r="O12">
        <f t="shared" si="6"/>
        <v>3.0169602087410329E-2</v>
      </c>
      <c r="Q12">
        <v>0.13214924503972375</v>
      </c>
      <c r="R12">
        <v>-5.2784549034314607E-2</v>
      </c>
      <c r="S12">
        <v>3.3789620619310297E-2</v>
      </c>
      <c r="T12">
        <v>6.1550565877867183E-2</v>
      </c>
      <c r="U12">
        <v>-3.4358330718544161E-2</v>
      </c>
      <c r="V12">
        <v>-9.4492422975426787E-2</v>
      </c>
      <c r="W12">
        <v>3.0169602087410329E-2</v>
      </c>
    </row>
    <row r="13" spans="1:23" x14ac:dyDescent="0.2">
      <c r="A13" s="1">
        <v>40543</v>
      </c>
      <c r="B13">
        <v>0.38500000000000001</v>
      </c>
      <c r="C13">
        <f t="shared" si="0"/>
        <v>0.1316040855316335</v>
      </c>
      <c r="D13">
        <v>27.91</v>
      </c>
      <c r="E13">
        <f t="shared" si="1"/>
        <v>0.10501831139265563</v>
      </c>
      <c r="F13">
        <v>11.51998848</v>
      </c>
      <c r="G13">
        <f t="shared" si="2"/>
        <v>3.6670416151330924E-2</v>
      </c>
      <c r="H13">
        <v>9</v>
      </c>
      <c r="I13">
        <f t="shared" si="3"/>
        <v>2.6225769669327301E-2</v>
      </c>
      <c r="J13">
        <v>61.85</v>
      </c>
      <c r="K13">
        <f t="shared" si="4"/>
        <v>4.8740861088546594E-3</v>
      </c>
      <c r="L13">
        <v>14.863653772999999</v>
      </c>
      <c r="M13">
        <f t="shared" si="5"/>
        <v>6.8848860014439836E-2</v>
      </c>
      <c r="N13">
        <v>32.884999999999998</v>
      </c>
      <c r="O13">
        <f t="shared" si="6"/>
        <v>4.1158777900902235E-2</v>
      </c>
      <c r="Q13">
        <v>0.1316040855316335</v>
      </c>
      <c r="R13">
        <v>0.10501831139265563</v>
      </c>
      <c r="S13">
        <v>3.6670416151330924E-2</v>
      </c>
      <c r="T13">
        <v>2.6225769669327301E-2</v>
      </c>
      <c r="U13">
        <v>4.8740861088546594E-3</v>
      </c>
      <c r="V13">
        <v>6.8848860014439836E-2</v>
      </c>
      <c r="W13">
        <v>4.1158777900902235E-2</v>
      </c>
    </row>
    <row r="14" spans="1:23" x14ac:dyDescent="0.2">
      <c r="A14" s="1">
        <v>40574</v>
      </c>
      <c r="B14">
        <v>0.59799999999999998</v>
      </c>
      <c r="C14">
        <f t="shared" si="0"/>
        <v>0.5532467532467531</v>
      </c>
      <c r="D14">
        <v>27.725000000000001</v>
      </c>
      <c r="E14">
        <f t="shared" si="1"/>
        <v>-6.6284485847366076E-3</v>
      </c>
      <c r="F14">
        <v>12.11855931</v>
      </c>
      <c r="G14">
        <f t="shared" si="2"/>
        <v>5.1959325396825386E-2</v>
      </c>
      <c r="H14">
        <v>8.4819999999999993</v>
      </c>
      <c r="I14">
        <f t="shared" si="3"/>
        <v>-5.7555555555555631E-2</v>
      </c>
      <c r="J14">
        <v>59.77</v>
      </c>
      <c r="K14">
        <f t="shared" si="4"/>
        <v>-3.3629749393694397E-2</v>
      </c>
      <c r="L14">
        <v>15.02355873</v>
      </c>
      <c r="M14">
        <f t="shared" si="5"/>
        <v>1.0758119062923103E-2</v>
      </c>
      <c r="N14">
        <v>31.425000000000001</v>
      </c>
      <c r="O14">
        <f t="shared" si="6"/>
        <v>-4.4397141553899878E-2</v>
      </c>
      <c r="Q14">
        <v>0.5532467532467531</v>
      </c>
      <c r="R14">
        <v>-6.6284485847366076E-3</v>
      </c>
      <c r="S14">
        <v>5.1959325396825386E-2</v>
      </c>
      <c r="T14">
        <v>-5.7555555555555631E-2</v>
      </c>
      <c r="U14">
        <v>-3.3629749393694397E-2</v>
      </c>
      <c r="V14">
        <v>1.0758119062923103E-2</v>
      </c>
      <c r="W14">
        <v>-4.4397141553899878E-2</v>
      </c>
    </row>
    <row r="15" spans="1:23" x14ac:dyDescent="0.2">
      <c r="A15" s="1">
        <v>40602</v>
      </c>
      <c r="B15">
        <v>0.5665</v>
      </c>
      <c r="C15">
        <f t="shared" si="0"/>
        <v>-5.2675585284280894E-2</v>
      </c>
      <c r="D15">
        <v>26.58</v>
      </c>
      <c r="E15">
        <f t="shared" si="1"/>
        <v>-4.1298467087466297E-2</v>
      </c>
      <c r="F15">
        <v>12.614630243000001</v>
      </c>
      <c r="G15">
        <f t="shared" si="2"/>
        <v>4.0934810839325785E-2</v>
      </c>
      <c r="H15">
        <v>8.6645000000000003</v>
      </c>
      <c r="I15">
        <f t="shared" si="3"/>
        <v>2.1516151850978663E-2</v>
      </c>
      <c r="J15">
        <v>61.44</v>
      </c>
      <c r="K15">
        <f t="shared" si="4"/>
        <v>2.7940438346996728E-2</v>
      </c>
      <c r="L15">
        <v>15.34987495</v>
      </c>
      <c r="M15">
        <f t="shared" si="5"/>
        <v>2.1720301152641796E-2</v>
      </c>
      <c r="N15">
        <v>31.96</v>
      </c>
      <c r="O15">
        <f t="shared" si="6"/>
        <v>1.7024661893396981E-2</v>
      </c>
      <c r="Q15">
        <v>-5.2675585284280894E-2</v>
      </c>
      <c r="R15">
        <v>-4.1298467087466297E-2</v>
      </c>
      <c r="S15">
        <v>4.0934810839325785E-2</v>
      </c>
      <c r="T15">
        <v>2.1516151850978663E-2</v>
      </c>
      <c r="U15">
        <v>2.7940438346996728E-2</v>
      </c>
      <c r="V15">
        <v>2.1720301152641796E-2</v>
      </c>
      <c r="W15">
        <v>1.7024661893396981E-2</v>
      </c>
    </row>
    <row r="16" spans="1:23" x14ac:dyDescent="0.2">
      <c r="A16" s="1">
        <v>40633</v>
      </c>
      <c r="B16">
        <v>0.46150000000000002</v>
      </c>
      <c r="C16">
        <f t="shared" si="0"/>
        <v>-0.18534863195057366</v>
      </c>
      <c r="D16">
        <v>25.39</v>
      </c>
      <c r="E16">
        <f t="shared" si="1"/>
        <v>-4.4770504138449879E-2</v>
      </c>
      <c r="F16">
        <v>12.446683982</v>
      </c>
      <c r="G16">
        <f t="shared" si="2"/>
        <v>-1.3313609496655372E-2</v>
      </c>
      <c r="H16">
        <v>9.0065000000000008</v>
      </c>
      <c r="I16">
        <f t="shared" si="3"/>
        <v>3.9471406313116797E-2</v>
      </c>
      <c r="J16">
        <v>59.25</v>
      </c>
      <c r="K16">
        <f t="shared" si="4"/>
        <v>-3.5644531249999965E-2</v>
      </c>
      <c r="L16">
        <v>14.68322893</v>
      </c>
      <c r="M16">
        <f t="shared" si="5"/>
        <v>-4.343006194978806E-2</v>
      </c>
      <c r="N16">
        <v>33.17</v>
      </c>
      <c r="O16">
        <f t="shared" si="6"/>
        <v>3.7859824780976249E-2</v>
      </c>
      <c r="Q16">
        <v>-0.18534863195057366</v>
      </c>
      <c r="R16">
        <v>-4.4770504138449879E-2</v>
      </c>
      <c r="S16">
        <v>-1.3313609496655372E-2</v>
      </c>
      <c r="T16">
        <v>3.9471406313116797E-2</v>
      </c>
      <c r="U16">
        <v>-3.5644531249999965E-2</v>
      </c>
      <c r="V16">
        <v>-4.343006194978806E-2</v>
      </c>
      <c r="W16">
        <v>3.7859824780976249E-2</v>
      </c>
    </row>
    <row r="17" spans="1:23" x14ac:dyDescent="0.2">
      <c r="A17" s="1">
        <v>40662</v>
      </c>
      <c r="B17">
        <v>0.5</v>
      </c>
      <c r="C17">
        <f t="shared" si="0"/>
        <v>8.342361863488619E-2</v>
      </c>
      <c r="D17">
        <v>25.92</v>
      </c>
      <c r="E17">
        <f t="shared" si="1"/>
        <v>2.0874359984245812E-2</v>
      </c>
      <c r="F17">
        <v>12.504630353</v>
      </c>
      <c r="G17">
        <f t="shared" si="2"/>
        <v>4.6555669834471647E-3</v>
      </c>
      <c r="H17">
        <v>9.7904999999999998</v>
      </c>
      <c r="I17">
        <f t="shared" si="3"/>
        <v>8.7048242935657452E-2</v>
      </c>
      <c r="J17">
        <v>65.72</v>
      </c>
      <c r="K17">
        <f t="shared" si="4"/>
        <v>0.1091983122362869</v>
      </c>
      <c r="L17">
        <v>13.615694424999999</v>
      </c>
      <c r="M17">
        <f t="shared" si="5"/>
        <v>-7.2704342490967425E-2</v>
      </c>
      <c r="N17">
        <v>33.729999999999997</v>
      </c>
      <c r="O17">
        <f t="shared" si="6"/>
        <v>1.6882725354235607E-2</v>
      </c>
      <c r="Q17">
        <v>8.342361863488619E-2</v>
      </c>
      <c r="R17">
        <v>2.0874359984245812E-2</v>
      </c>
      <c r="S17">
        <v>4.6555669834471647E-3</v>
      </c>
      <c r="T17">
        <v>8.7048242935657452E-2</v>
      </c>
      <c r="U17">
        <v>0.1091983122362869</v>
      </c>
      <c r="V17">
        <v>-7.2704342490967425E-2</v>
      </c>
      <c r="W17">
        <v>1.6882725354235607E-2</v>
      </c>
    </row>
    <row r="18" spans="1:23" x14ac:dyDescent="0.2">
      <c r="A18" s="1">
        <v>40694</v>
      </c>
      <c r="B18">
        <v>0.501</v>
      </c>
      <c r="C18">
        <f t="shared" si="0"/>
        <v>2.0000000000000018E-3</v>
      </c>
      <c r="D18">
        <v>25.01</v>
      </c>
      <c r="E18">
        <f t="shared" si="1"/>
        <v>-3.5108024691358028E-2</v>
      </c>
      <c r="F18">
        <v>12.422487578</v>
      </c>
      <c r="G18">
        <f t="shared" si="2"/>
        <v>-6.568988661091648E-3</v>
      </c>
      <c r="H18">
        <v>9.8345000000000002</v>
      </c>
      <c r="I18">
        <f t="shared" si="3"/>
        <v>4.4941524947653836E-3</v>
      </c>
      <c r="J18">
        <v>67.290000000000006</v>
      </c>
      <c r="K18">
        <f t="shared" si="4"/>
        <v>2.3889227023737178E-2</v>
      </c>
      <c r="L18">
        <v>13.238328735</v>
      </c>
      <c r="M18">
        <f t="shared" si="5"/>
        <v>-2.7715493475464037E-2</v>
      </c>
      <c r="N18">
        <v>33.405000000000001</v>
      </c>
      <c r="O18">
        <f t="shared" si="6"/>
        <v>-9.6353394604208643E-3</v>
      </c>
      <c r="Q18">
        <v>2.0000000000000018E-3</v>
      </c>
      <c r="R18">
        <v>-3.5108024691358028E-2</v>
      </c>
      <c r="S18">
        <v>-6.568988661091648E-3</v>
      </c>
      <c r="T18">
        <v>4.4941524947653836E-3</v>
      </c>
      <c r="U18">
        <v>2.3889227023737178E-2</v>
      </c>
      <c r="V18">
        <v>-2.7715493475464037E-2</v>
      </c>
      <c r="W18">
        <v>-9.6353394604208643E-3</v>
      </c>
    </row>
    <row r="19" spans="1:23" x14ac:dyDescent="0.2">
      <c r="A19" s="1">
        <v>40724</v>
      </c>
      <c r="B19">
        <v>0.39837499999999998</v>
      </c>
      <c r="C19">
        <f t="shared" si="0"/>
        <v>-0.2048403193612775</v>
      </c>
      <c r="D19">
        <v>26</v>
      </c>
      <c r="E19">
        <f t="shared" si="1"/>
        <v>3.958416633346655E-2</v>
      </c>
      <c r="F19">
        <v>11.988202297999999</v>
      </c>
      <c r="G19">
        <f t="shared" si="2"/>
        <v>-3.4959606703017544E-2</v>
      </c>
      <c r="H19">
        <v>10.224500000000001</v>
      </c>
      <c r="I19">
        <f t="shared" si="3"/>
        <v>3.9656311962987502E-2</v>
      </c>
      <c r="J19">
        <v>66.52</v>
      </c>
      <c r="K19">
        <f t="shared" si="4"/>
        <v>-1.1443007876356222E-2</v>
      </c>
      <c r="L19">
        <v>12.671779715</v>
      </c>
      <c r="M19">
        <f t="shared" si="5"/>
        <v>-4.2796113568485131E-2</v>
      </c>
      <c r="N19">
        <v>33.645000000000003</v>
      </c>
      <c r="O19">
        <f t="shared" si="6"/>
        <v>7.1845532105972755E-3</v>
      </c>
      <c r="Q19">
        <v>-0.2048403193612775</v>
      </c>
      <c r="R19">
        <v>3.958416633346655E-2</v>
      </c>
      <c r="S19">
        <v>-3.4959606703017544E-2</v>
      </c>
      <c r="T19">
        <v>3.9656311962987502E-2</v>
      </c>
      <c r="U19">
        <v>-1.1443007876356222E-2</v>
      </c>
      <c r="V19">
        <v>-4.2796113568485131E-2</v>
      </c>
      <c r="W19">
        <v>7.1845532105972755E-3</v>
      </c>
    </row>
    <row r="20" spans="1:23" x14ac:dyDescent="0.2">
      <c r="A20" s="1">
        <v>40753</v>
      </c>
      <c r="B20">
        <v>0.34575</v>
      </c>
      <c r="C20">
        <f t="shared" si="0"/>
        <v>-0.1320991528082836</v>
      </c>
      <c r="D20">
        <v>27.4</v>
      </c>
      <c r="E20">
        <f t="shared" si="1"/>
        <v>5.3846153846153794E-2</v>
      </c>
      <c r="F20">
        <v>13.94570034</v>
      </c>
      <c r="G20">
        <f t="shared" si="2"/>
        <v>0.16328536951087086</v>
      </c>
      <c r="H20">
        <v>11.125999999999999</v>
      </c>
      <c r="I20">
        <f t="shared" si="3"/>
        <v>8.8170570688053063E-2</v>
      </c>
      <c r="J20">
        <v>64.790000000000006</v>
      </c>
      <c r="K20">
        <f t="shared" si="4"/>
        <v>-2.6007215874924682E-2</v>
      </c>
      <c r="L20">
        <v>15.106889483</v>
      </c>
      <c r="M20">
        <f t="shared" si="5"/>
        <v>0.19216793716177699</v>
      </c>
      <c r="N20">
        <v>34.005000000000003</v>
      </c>
      <c r="O20">
        <f t="shared" si="6"/>
        <v>1.0699955416852413E-2</v>
      </c>
      <c r="Q20">
        <v>-0.1320991528082836</v>
      </c>
      <c r="R20">
        <v>5.3846153846153794E-2</v>
      </c>
      <c r="S20">
        <v>0.16328536951087086</v>
      </c>
      <c r="T20">
        <v>8.8170570688053063E-2</v>
      </c>
      <c r="U20">
        <v>-2.6007215874924682E-2</v>
      </c>
      <c r="V20">
        <v>0.19216793716177699</v>
      </c>
      <c r="W20">
        <v>1.0699955416852413E-2</v>
      </c>
    </row>
    <row r="21" spans="1:23" x14ac:dyDescent="0.2">
      <c r="A21" s="1">
        <v>40786</v>
      </c>
      <c r="B21">
        <v>0.33274999999999999</v>
      </c>
      <c r="C21">
        <f t="shared" si="0"/>
        <v>-3.7599421547360845E-2</v>
      </c>
      <c r="D21">
        <v>26.6</v>
      </c>
      <c r="E21">
        <f t="shared" si="1"/>
        <v>-2.9197080291970701E-2</v>
      </c>
      <c r="F21">
        <v>13.743914827999999</v>
      </c>
      <c r="G21">
        <f t="shared" si="2"/>
        <v>-1.4469370994673238E-2</v>
      </c>
      <c r="H21">
        <v>10.7615</v>
      </c>
      <c r="I21">
        <f t="shared" si="3"/>
        <v>-3.2761100125831354E-2</v>
      </c>
      <c r="J21">
        <v>65.8</v>
      </c>
      <c r="K21">
        <f t="shared" si="4"/>
        <v>1.5588825436023936E-2</v>
      </c>
      <c r="L21">
        <v>13.53711828</v>
      </c>
      <c r="M21">
        <f t="shared" si="5"/>
        <v>-0.10391094770147662</v>
      </c>
      <c r="N21">
        <v>35.225000000000001</v>
      </c>
      <c r="O21">
        <f t="shared" si="6"/>
        <v>3.587707690045578E-2</v>
      </c>
      <c r="Q21">
        <v>-3.7599421547360845E-2</v>
      </c>
      <c r="R21">
        <v>-2.9197080291970701E-2</v>
      </c>
      <c r="S21">
        <v>-1.4469370994673238E-2</v>
      </c>
      <c r="T21">
        <v>-3.2761100125831354E-2</v>
      </c>
      <c r="U21">
        <v>1.5588825436023936E-2</v>
      </c>
      <c r="V21">
        <v>-0.10391094770147662</v>
      </c>
      <c r="W21">
        <v>3.587707690045578E-2</v>
      </c>
    </row>
    <row r="22" spans="1:23" x14ac:dyDescent="0.2">
      <c r="A22" s="1">
        <v>40816</v>
      </c>
      <c r="B22">
        <v>0.31274999999999997</v>
      </c>
      <c r="C22">
        <f t="shared" si="0"/>
        <v>-6.0105184072126276E-2</v>
      </c>
      <c r="D22">
        <v>24.89</v>
      </c>
      <c r="E22">
        <f t="shared" si="1"/>
        <v>-6.4285714285714321E-2</v>
      </c>
      <c r="F22">
        <v>13.61855781</v>
      </c>
      <c r="G22">
        <f t="shared" si="2"/>
        <v>-9.1209105679710342E-3</v>
      </c>
      <c r="H22">
        <v>10.811500000000001</v>
      </c>
      <c r="I22">
        <f t="shared" si="3"/>
        <v>4.6461924452911498E-3</v>
      </c>
      <c r="J22">
        <v>63.69</v>
      </c>
      <c r="K22">
        <f t="shared" si="4"/>
        <v>-3.2066869300911849E-2</v>
      </c>
      <c r="L22">
        <v>12.888489720000001</v>
      </c>
      <c r="M22">
        <f t="shared" si="5"/>
        <v>-4.7914818101153417E-2</v>
      </c>
      <c r="N22">
        <v>33.78</v>
      </c>
      <c r="O22">
        <f t="shared" si="6"/>
        <v>-4.1022001419446424E-2</v>
      </c>
      <c r="Q22">
        <v>-6.0105184072126276E-2</v>
      </c>
      <c r="R22">
        <v>-6.4285714285714321E-2</v>
      </c>
      <c r="S22">
        <v>-9.1209105679710342E-3</v>
      </c>
      <c r="T22">
        <v>4.6461924452911498E-3</v>
      </c>
      <c r="U22">
        <v>-3.2066869300911849E-2</v>
      </c>
      <c r="V22">
        <v>-4.7914818101153417E-2</v>
      </c>
      <c r="W22">
        <v>-4.1022001419446424E-2</v>
      </c>
    </row>
    <row r="23" spans="1:23" x14ac:dyDescent="0.2">
      <c r="A23" s="1">
        <v>40847</v>
      </c>
      <c r="B23">
        <v>0.37</v>
      </c>
      <c r="C23">
        <f t="shared" si="0"/>
        <v>0.18305355715427668</v>
      </c>
      <c r="D23">
        <v>26.63</v>
      </c>
      <c r="E23">
        <f t="shared" si="1"/>
        <v>6.990759341100837E-2</v>
      </c>
      <c r="F23">
        <v>14.456414114999999</v>
      </c>
      <c r="G23">
        <f t="shared" si="2"/>
        <v>6.1523130179376821E-2</v>
      </c>
      <c r="H23">
        <v>10.6755</v>
      </c>
      <c r="I23">
        <f t="shared" si="3"/>
        <v>-1.257919807612274E-2</v>
      </c>
      <c r="J23">
        <v>64.39</v>
      </c>
      <c r="K23">
        <f t="shared" si="4"/>
        <v>1.099073637933746E-2</v>
      </c>
      <c r="L23">
        <v>14.83037152</v>
      </c>
      <c r="M23">
        <f t="shared" si="5"/>
        <v>0.15066790928859886</v>
      </c>
      <c r="N23">
        <v>34.159999999999997</v>
      </c>
      <c r="O23">
        <f t="shared" si="6"/>
        <v>1.1249259917110581E-2</v>
      </c>
      <c r="Q23">
        <v>0.18305355715427668</v>
      </c>
      <c r="R23">
        <v>6.990759341100837E-2</v>
      </c>
      <c r="S23">
        <v>6.1523130179376821E-2</v>
      </c>
      <c r="T23">
        <v>-1.257919807612274E-2</v>
      </c>
      <c r="U23">
        <v>1.099073637933746E-2</v>
      </c>
      <c r="V23">
        <v>0.15066790928859886</v>
      </c>
      <c r="W23">
        <v>1.1249259917110581E-2</v>
      </c>
    </row>
    <row r="24" spans="1:23" x14ac:dyDescent="0.2">
      <c r="A24" s="1">
        <v>40877</v>
      </c>
      <c r="B24">
        <v>0.39074999999999999</v>
      </c>
      <c r="C24">
        <f t="shared" si="0"/>
        <v>5.6081081081081056E-2</v>
      </c>
      <c r="D24">
        <v>25.58</v>
      </c>
      <c r="E24">
        <f t="shared" si="1"/>
        <v>-3.9429215170859962E-2</v>
      </c>
      <c r="F24">
        <v>13.649986350000001</v>
      </c>
      <c r="G24">
        <f t="shared" si="2"/>
        <v>-5.5783388507337231E-2</v>
      </c>
      <c r="H24">
        <v>9.6144999999999996</v>
      </c>
      <c r="I24">
        <f t="shared" si="3"/>
        <v>-9.9386445599737722E-2</v>
      </c>
      <c r="J24">
        <v>64.72</v>
      </c>
      <c r="K24">
        <f t="shared" si="4"/>
        <v>5.1250194129522954E-3</v>
      </c>
      <c r="L24">
        <v>14.999285208</v>
      </c>
      <c r="M24">
        <f t="shared" si="5"/>
        <v>1.1389713856608762E-2</v>
      </c>
      <c r="N24">
        <v>33.615000000000002</v>
      </c>
      <c r="O24">
        <f t="shared" si="6"/>
        <v>-1.5954332552693053E-2</v>
      </c>
      <c r="Q24">
        <v>5.6081081081081056E-2</v>
      </c>
      <c r="R24">
        <v>-3.9429215170859962E-2</v>
      </c>
      <c r="S24">
        <v>-5.5783388507337231E-2</v>
      </c>
      <c r="T24">
        <v>-9.9386445599737722E-2</v>
      </c>
      <c r="U24">
        <v>5.1250194129522954E-3</v>
      </c>
      <c r="V24">
        <v>1.1389713856608762E-2</v>
      </c>
      <c r="W24">
        <v>-1.5954332552693053E-2</v>
      </c>
    </row>
    <row r="25" spans="1:23" x14ac:dyDescent="0.2">
      <c r="A25" s="1">
        <v>40907</v>
      </c>
      <c r="B25">
        <v>0.34649999999999997</v>
      </c>
      <c r="C25">
        <f t="shared" si="0"/>
        <v>-0.11324376199616126</v>
      </c>
      <c r="D25">
        <v>25.96</v>
      </c>
      <c r="E25">
        <f t="shared" si="1"/>
        <v>1.4855355746677193E-2</v>
      </c>
      <c r="F25">
        <v>14.464271249999999</v>
      </c>
      <c r="G25">
        <f t="shared" si="2"/>
        <v>5.9654631083202417E-2</v>
      </c>
      <c r="H25">
        <v>8.6549999999999994</v>
      </c>
      <c r="I25">
        <f t="shared" si="3"/>
        <v>-9.9797181340683369E-2</v>
      </c>
      <c r="J25">
        <v>65.58</v>
      </c>
      <c r="K25">
        <f t="shared" si="4"/>
        <v>1.3288009888751536E-2</v>
      </c>
      <c r="L25">
        <v>16.163163075</v>
      </c>
      <c r="M25">
        <f t="shared" si="5"/>
        <v>7.7595555445484535E-2</v>
      </c>
      <c r="N25">
        <v>34.984999999999999</v>
      </c>
      <c r="O25">
        <f t="shared" si="6"/>
        <v>4.0755615052803729E-2</v>
      </c>
      <c r="Q25">
        <v>-0.11324376199616126</v>
      </c>
      <c r="R25">
        <v>1.4855355746677193E-2</v>
      </c>
      <c r="S25">
        <v>5.9654631083202417E-2</v>
      </c>
      <c r="T25">
        <v>-9.9797181340683369E-2</v>
      </c>
      <c r="U25">
        <v>1.3288009888751536E-2</v>
      </c>
      <c r="V25">
        <v>7.7595555445484535E-2</v>
      </c>
      <c r="W25">
        <v>4.0755615052803729E-2</v>
      </c>
    </row>
    <row r="26" spans="1:23" x14ac:dyDescent="0.2">
      <c r="A26" s="1">
        <v>40939</v>
      </c>
      <c r="B26">
        <v>0.36925000000000002</v>
      </c>
      <c r="C26">
        <f t="shared" si="0"/>
        <v>6.5656565656565802E-2</v>
      </c>
      <c r="D26">
        <v>29.53</v>
      </c>
      <c r="E26">
        <f t="shared" si="1"/>
        <v>0.13751926040061635</v>
      </c>
      <c r="F26">
        <v>16.302840839999998</v>
      </c>
      <c r="G26">
        <f t="shared" si="2"/>
        <v>0.12711111111111104</v>
      </c>
      <c r="H26">
        <v>9.7219999999999995</v>
      </c>
      <c r="I26">
        <f t="shared" si="3"/>
        <v>0.12328134026574238</v>
      </c>
      <c r="J26">
        <v>65.91</v>
      </c>
      <c r="K26">
        <f t="shared" si="4"/>
        <v>5.0320219579139723E-3</v>
      </c>
      <c r="L26">
        <v>14.516817668</v>
      </c>
      <c r="M26">
        <f t="shared" si="5"/>
        <v>-0.10185787270478307</v>
      </c>
      <c r="N26">
        <v>33.765000000000001</v>
      </c>
      <c r="O26">
        <f t="shared" si="6"/>
        <v>-3.4872088037730425E-2</v>
      </c>
      <c r="Q26">
        <v>6.5656565656565802E-2</v>
      </c>
      <c r="R26">
        <v>0.13751926040061635</v>
      </c>
      <c r="S26">
        <v>0.12711111111111104</v>
      </c>
      <c r="T26">
        <v>0.12328134026574238</v>
      </c>
      <c r="U26">
        <v>5.0320219579139723E-3</v>
      </c>
      <c r="V26">
        <v>-0.10185787270478307</v>
      </c>
      <c r="W26">
        <v>-3.4872088037730425E-2</v>
      </c>
    </row>
    <row r="27" spans="1:23" x14ac:dyDescent="0.2">
      <c r="A27" s="1">
        <v>40968</v>
      </c>
      <c r="B27">
        <v>0.37874999999999998</v>
      </c>
      <c r="C27">
        <f t="shared" si="0"/>
        <v>2.5727826675693847E-2</v>
      </c>
      <c r="D27">
        <v>31.74</v>
      </c>
      <c r="E27">
        <f t="shared" si="1"/>
        <v>7.4839146630545111E-2</v>
      </c>
      <c r="F27">
        <v>19.37283777</v>
      </c>
      <c r="G27">
        <f t="shared" si="2"/>
        <v>0.18831055029793214</v>
      </c>
      <c r="H27">
        <v>8.9845000000000006</v>
      </c>
      <c r="I27">
        <f t="shared" si="3"/>
        <v>-7.5858876774326164E-2</v>
      </c>
      <c r="J27">
        <v>65.08</v>
      </c>
      <c r="K27">
        <f t="shared" si="4"/>
        <v>-1.2592929752693041E-2</v>
      </c>
      <c r="L27">
        <v>15.471242563000001</v>
      </c>
      <c r="M27">
        <f t="shared" si="5"/>
        <v>6.5746151589675034E-2</v>
      </c>
      <c r="N27">
        <v>34.93</v>
      </c>
      <c r="O27">
        <f t="shared" si="6"/>
        <v>3.4503183770176193E-2</v>
      </c>
      <c r="Q27">
        <v>2.5727826675693847E-2</v>
      </c>
      <c r="R27">
        <v>7.4839146630545111E-2</v>
      </c>
      <c r="S27">
        <v>0.18831055029793214</v>
      </c>
      <c r="T27">
        <v>-7.5858876774326164E-2</v>
      </c>
      <c r="U27">
        <v>-1.2592929752693041E-2</v>
      </c>
      <c r="V27">
        <v>6.5746151589675034E-2</v>
      </c>
      <c r="W27">
        <v>3.4503183770176193E-2</v>
      </c>
    </row>
    <row r="28" spans="1:23" x14ac:dyDescent="0.2">
      <c r="A28" s="1">
        <v>40998</v>
      </c>
      <c r="B28">
        <v>0.38487500000000002</v>
      </c>
      <c r="C28">
        <f t="shared" si="0"/>
        <v>1.6171617161716296E-2</v>
      </c>
      <c r="D28">
        <v>32.255000000000003</v>
      </c>
      <c r="E28">
        <f t="shared" si="1"/>
        <v>1.6225582860743673E-2</v>
      </c>
      <c r="F28">
        <v>21.412478587999999</v>
      </c>
      <c r="G28">
        <f t="shared" si="2"/>
        <v>0.1052835336885185</v>
      </c>
      <c r="H28">
        <v>10.125500000000001</v>
      </c>
      <c r="I28">
        <f t="shared" si="3"/>
        <v>0.12699649396182314</v>
      </c>
      <c r="J28">
        <v>65.959999999999994</v>
      </c>
      <c r="K28">
        <f t="shared" si="4"/>
        <v>1.3521819299323839E-2</v>
      </c>
      <c r="L28">
        <v>16.046550069999999</v>
      </c>
      <c r="M28">
        <f t="shared" si="5"/>
        <v>3.7185604495392328E-2</v>
      </c>
      <c r="N28">
        <v>37.005000000000003</v>
      </c>
      <c r="O28">
        <f t="shared" si="6"/>
        <v>5.9404523332379125E-2</v>
      </c>
      <c r="Q28">
        <v>1.6171617161716296E-2</v>
      </c>
      <c r="R28">
        <v>1.6225582860743673E-2</v>
      </c>
      <c r="S28">
        <v>0.1052835336885185</v>
      </c>
      <c r="T28">
        <v>0.12699649396182314</v>
      </c>
      <c r="U28">
        <v>1.3521819299323839E-2</v>
      </c>
      <c r="V28">
        <v>3.7185604495392328E-2</v>
      </c>
      <c r="W28">
        <v>5.9404523332379125E-2</v>
      </c>
    </row>
    <row r="29" spans="1:23" x14ac:dyDescent="0.2">
      <c r="A29" s="1">
        <v>41029</v>
      </c>
      <c r="B29">
        <v>0.32500000000000001</v>
      </c>
      <c r="C29">
        <f t="shared" si="0"/>
        <v>-0.15556999025657683</v>
      </c>
      <c r="D29">
        <v>32.015000000000001</v>
      </c>
      <c r="E29">
        <f t="shared" si="1"/>
        <v>-7.4407068671524402E-3</v>
      </c>
      <c r="F29">
        <v>20.856407715</v>
      </c>
      <c r="G29">
        <f t="shared" si="2"/>
        <v>-2.5969477130575309E-2</v>
      </c>
      <c r="H29">
        <v>11.595000000000001</v>
      </c>
      <c r="I29">
        <f t="shared" si="3"/>
        <v>0.14512863562293218</v>
      </c>
      <c r="J29">
        <v>65.099999999999994</v>
      </c>
      <c r="K29">
        <f t="shared" si="4"/>
        <v>-1.3038204972710726E-2</v>
      </c>
      <c r="L29">
        <v>15.135917613</v>
      </c>
      <c r="M29">
        <f t="shared" si="5"/>
        <v>-5.6749422961791716E-2</v>
      </c>
      <c r="N29">
        <v>38.159999999999997</v>
      </c>
      <c r="O29">
        <f t="shared" si="6"/>
        <v>3.1211998378597325E-2</v>
      </c>
      <c r="Q29">
        <v>-0.15556999025657683</v>
      </c>
      <c r="R29">
        <v>-7.4407068671524402E-3</v>
      </c>
      <c r="S29">
        <v>-2.5969477130575309E-2</v>
      </c>
      <c r="T29">
        <v>0.14512863562293218</v>
      </c>
      <c r="U29">
        <v>-1.3038204972710726E-2</v>
      </c>
      <c r="V29">
        <v>-5.6749422961791716E-2</v>
      </c>
      <c r="W29">
        <v>3.1211998378597325E-2</v>
      </c>
    </row>
    <row r="30" spans="1:23" x14ac:dyDescent="0.2">
      <c r="A30" s="1">
        <v>41060</v>
      </c>
      <c r="B30">
        <v>0.31075000000000003</v>
      </c>
      <c r="C30">
        <f t="shared" si="0"/>
        <v>-4.3846153846153799E-2</v>
      </c>
      <c r="D30">
        <v>29.19</v>
      </c>
      <c r="E30">
        <f t="shared" si="1"/>
        <v>-8.8239887552709645E-2</v>
      </c>
      <c r="F30">
        <v>20.633193652999999</v>
      </c>
      <c r="G30">
        <f t="shared" si="2"/>
        <v>-1.0702421291825052E-2</v>
      </c>
      <c r="H30">
        <v>10.6455</v>
      </c>
      <c r="I30">
        <f t="shared" si="3"/>
        <v>-8.188874514877105E-2</v>
      </c>
      <c r="J30">
        <v>62.43</v>
      </c>
      <c r="K30">
        <f t="shared" si="4"/>
        <v>-4.1013824884792549E-2</v>
      </c>
      <c r="L30">
        <v>14.535585855000001</v>
      </c>
      <c r="M30">
        <f t="shared" si="5"/>
        <v>-3.9662726327499558E-2</v>
      </c>
      <c r="N30">
        <v>37.365000000000002</v>
      </c>
      <c r="O30">
        <f t="shared" si="6"/>
        <v>-2.0833333333333193E-2</v>
      </c>
      <c r="Q30">
        <v>-4.3846153846153799E-2</v>
      </c>
      <c r="R30">
        <v>-8.8239887552709645E-2</v>
      </c>
      <c r="S30">
        <v>-1.0702421291825052E-2</v>
      </c>
      <c r="T30">
        <v>-8.188874514877105E-2</v>
      </c>
      <c r="U30">
        <v>-4.1013824884792549E-2</v>
      </c>
      <c r="V30">
        <v>-3.9662726327499558E-2</v>
      </c>
      <c r="W30">
        <v>-2.0833333333333193E-2</v>
      </c>
    </row>
    <row r="31" spans="1:23" x14ac:dyDescent="0.2">
      <c r="A31" s="1">
        <v>41089</v>
      </c>
      <c r="B31">
        <v>0.34549999999999997</v>
      </c>
      <c r="C31">
        <f t="shared" si="0"/>
        <v>0.11182622687047448</v>
      </c>
      <c r="D31">
        <v>30.59</v>
      </c>
      <c r="E31">
        <f t="shared" si="1"/>
        <v>4.7961630695443597E-2</v>
      </c>
      <c r="F31">
        <v>20.857122</v>
      </c>
      <c r="G31">
        <f t="shared" si="2"/>
        <v>1.0852820497201248E-2</v>
      </c>
      <c r="H31">
        <v>11.4175</v>
      </c>
      <c r="I31">
        <f t="shared" si="3"/>
        <v>7.251890470151709E-2</v>
      </c>
      <c r="J31">
        <v>67.56</v>
      </c>
      <c r="K31">
        <f t="shared" si="4"/>
        <v>8.2172032676597825E-2</v>
      </c>
      <c r="L31">
        <v>14.515816698</v>
      </c>
      <c r="M31">
        <f t="shared" si="5"/>
        <v>-1.3600523017928748E-3</v>
      </c>
      <c r="N31">
        <v>39.094999999999999</v>
      </c>
      <c r="O31">
        <f t="shared" si="6"/>
        <v>4.6300013381506674E-2</v>
      </c>
      <c r="Q31">
        <v>0.11182622687047448</v>
      </c>
      <c r="R31">
        <v>4.7961630695443597E-2</v>
      </c>
      <c r="S31">
        <v>1.0852820497201248E-2</v>
      </c>
      <c r="T31">
        <v>7.251890470151709E-2</v>
      </c>
      <c r="U31">
        <v>8.2172032676597825E-2</v>
      </c>
      <c r="V31">
        <v>-1.3600523017928748E-3</v>
      </c>
      <c r="W31">
        <v>4.6300013381506674E-2</v>
      </c>
    </row>
    <row r="32" spans="1:23" x14ac:dyDescent="0.2">
      <c r="A32" s="1">
        <v>41121</v>
      </c>
      <c r="B32">
        <v>0.33850000000000002</v>
      </c>
      <c r="C32">
        <f t="shared" si="0"/>
        <v>-2.0260492040520842E-2</v>
      </c>
      <c r="D32">
        <v>29.47</v>
      </c>
      <c r="E32">
        <f t="shared" si="1"/>
        <v>-3.6613272311212849E-2</v>
      </c>
      <c r="F32">
        <v>21.812835329999999</v>
      </c>
      <c r="G32">
        <f t="shared" si="2"/>
        <v>4.5821917808219093E-2</v>
      </c>
      <c r="H32">
        <v>11.664999999999999</v>
      </c>
      <c r="I32">
        <f t="shared" si="3"/>
        <v>2.1677249835778296E-2</v>
      </c>
      <c r="J32">
        <v>69.22</v>
      </c>
      <c r="K32">
        <f t="shared" si="4"/>
        <v>2.4570751924215459E-2</v>
      </c>
      <c r="L32">
        <v>15.839599523</v>
      </c>
      <c r="M32">
        <f t="shared" si="5"/>
        <v>9.1195890148047409E-2</v>
      </c>
      <c r="N32">
        <v>40.4</v>
      </c>
      <c r="O32">
        <f t="shared" si="6"/>
        <v>3.3380227650594702E-2</v>
      </c>
      <c r="Q32">
        <v>-2.0260492040520842E-2</v>
      </c>
      <c r="R32">
        <v>-3.6613272311212849E-2</v>
      </c>
      <c r="S32">
        <v>4.5821917808219093E-2</v>
      </c>
      <c r="T32">
        <v>2.1677249835778296E-2</v>
      </c>
      <c r="U32">
        <v>2.4570751924215459E-2</v>
      </c>
      <c r="V32">
        <v>9.1195890148047409E-2</v>
      </c>
      <c r="W32">
        <v>3.3380227650594702E-2</v>
      </c>
    </row>
    <row r="33" spans="1:23" x14ac:dyDescent="0.2">
      <c r="A33" s="1">
        <v>41152</v>
      </c>
      <c r="B33">
        <v>0.35075000000000001</v>
      </c>
      <c r="C33">
        <f t="shared" si="0"/>
        <v>3.6189069423929049E-2</v>
      </c>
      <c r="D33">
        <v>30.82</v>
      </c>
      <c r="E33">
        <f t="shared" si="1"/>
        <v>4.5809297590770327E-2</v>
      </c>
      <c r="F33">
        <v>23.758547669999999</v>
      </c>
      <c r="G33">
        <f t="shared" si="2"/>
        <v>8.9200340559303176E-2</v>
      </c>
      <c r="H33">
        <v>12.413500000000001</v>
      </c>
      <c r="I33">
        <f t="shared" si="3"/>
        <v>6.4166309472781985E-2</v>
      </c>
      <c r="J33">
        <v>67.430000000000007</v>
      </c>
      <c r="K33">
        <f t="shared" si="4"/>
        <v>-2.5859578156602024E-2</v>
      </c>
      <c r="L33">
        <v>17.143863433</v>
      </c>
      <c r="M33">
        <f t="shared" si="5"/>
        <v>8.2341975130503398E-2</v>
      </c>
      <c r="N33">
        <v>37.4</v>
      </c>
      <c r="O33">
        <f t="shared" si="6"/>
        <v>-7.4257425742574254E-2</v>
      </c>
      <c r="Q33">
        <v>3.6189069423929049E-2</v>
      </c>
      <c r="R33">
        <v>4.5809297590770327E-2</v>
      </c>
      <c r="S33">
        <v>8.9200340559303176E-2</v>
      </c>
      <c r="T33">
        <v>6.4166309472781985E-2</v>
      </c>
      <c r="U33">
        <v>-2.5859578156602024E-2</v>
      </c>
      <c r="V33">
        <v>8.2341975130503398E-2</v>
      </c>
      <c r="W33">
        <v>-7.4257425742574254E-2</v>
      </c>
    </row>
    <row r="34" spans="1:23" x14ac:dyDescent="0.2">
      <c r="A34" s="1">
        <v>41180</v>
      </c>
      <c r="B34">
        <v>0.33350000000000002</v>
      </c>
      <c r="C34">
        <f t="shared" si="0"/>
        <v>-4.9180327868852423E-2</v>
      </c>
      <c r="D34">
        <v>29.76</v>
      </c>
      <c r="E34">
        <f t="shared" si="1"/>
        <v>-3.4393251135626177E-2</v>
      </c>
      <c r="F34">
        <v>23.825154745999999</v>
      </c>
      <c r="G34">
        <f t="shared" si="2"/>
        <v>2.8034994783837468E-3</v>
      </c>
      <c r="H34">
        <v>12.715999999999999</v>
      </c>
      <c r="I34">
        <f t="shared" si="3"/>
        <v>2.4368630926007849E-2</v>
      </c>
      <c r="J34">
        <v>68.91</v>
      </c>
      <c r="K34">
        <f t="shared" si="4"/>
        <v>2.194868752780646E-2</v>
      </c>
      <c r="L34">
        <v>18.880796624999999</v>
      </c>
      <c r="M34">
        <f t="shared" si="5"/>
        <v>0.10131515564085739</v>
      </c>
      <c r="N34">
        <v>37.93</v>
      </c>
      <c r="O34">
        <f t="shared" si="6"/>
        <v>1.4171122994652438E-2</v>
      </c>
      <c r="Q34">
        <v>-4.9180327868852423E-2</v>
      </c>
      <c r="R34">
        <v>-3.4393251135626177E-2</v>
      </c>
      <c r="S34">
        <v>2.8034994783837468E-3</v>
      </c>
      <c r="T34">
        <v>2.4368630926007849E-2</v>
      </c>
      <c r="U34">
        <v>2.194868752780646E-2</v>
      </c>
      <c r="V34">
        <v>0.10131515564085739</v>
      </c>
      <c r="W34">
        <v>1.4171122994652438E-2</v>
      </c>
    </row>
    <row r="35" spans="1:23" x14ac:dyDescent="0.2">
      <c r="A35" s="1">
        <v>41213</v>
      </c>
      <c r="B35">
        <v>0.299375</v>
      </c>
      <c r="C35">
        <f t="shared" si="0"/>
        <v>-0.10232383808095956</v>
      </c>
      <c r="D35">
        <v>28.54</v>
      </c>
      <c r="E35">
        <f t="shared" si="1"/>
        <v>-4.099462365591406E-2</v>
      </c>
      <c r="F35">
        <v>21.261407309999999</v>
      </c>
      <c r="G35">
        <f t="shared" si="2"/>
        <v>-0.10760674855345596</v>
      </c>
      <c r="H35">
        <v>11.644655</v>
      </c>
      <c r="I35">
        <f t="shared" si="3"/>
        <v>-8.4251730103806169E-2</v>
      </c>
      <c r="J35">
        <v>70.819999999999993</v>
      </c>
      <c r="K35">
        <f t="shared" si="4"/>
        <v>2.7717312436511342E-2</v>
      </c>
      <c r="L35">
        <v>17.023937217</v>
      </c>
      <c r="M35">
        <f t="shared" si="5"/>
        <v>-9.8346454595106284E-2</v>
      </c>
      <c r="N35">
        <v>37.18</v>
      </c>
      <c r="O35">
        <f t="shared" si="6"/>
        <v>-1.9773266543633008E-2</v>
      </c>
      <c r="Q35">
        <v>-0.10232383808095956</v>
      </c>
      <c r="R35">
        <v>-4.099462365591406E-2</v>
      </c>
      <c r="S35">
        <v>-0.10760674855345596</v>
      </c>
      <c r="T35">
        <v>-8.4251730103806169E-2</v>
      </c>
      <c r="U35">
        <v>2.7717312436511342E-2</v>
      </c>
      <c r="V35">
        <v>-9.8346454595106284E-2</v>
      </c>
      <c r="W35">
        <v>-1.9773266543633008E-2</v>
      </c>
    </row>
    <row r="36" spans="1:23" x14ac:dyDescent="0.2">
      <c r="A36" s="1">
        <v>41243</v>
      </c>
      <c r="B36">
        <v>0.29925000000000002</v>
      </c>
      <c r="C36">
        <f t="shared" si="0"/>
        <v>-4.1753653444671809E-4</v>
      </c>
      <c r="D36">
        <v>26.614999999999998</v>
      </c>
      <c r="E36">
        <f t="shared" si="1"/>
        <v>-6.7449194113524902E-2</v>
      </c>
      <c r="F36">
        <v>20.902836239999999</v>
      </c>
      <c r="G36">
        <f t="shared" si="2"/>
        <v>-1.686487939259558E-2</v>
      </c>
      <c r="H36">
        <v>12.602499999999999</v>
      </c>
      <c r="I36">
        <f t="shared" si="3"/>
        <v>8.2256193936187799E-2</v>
      </c>
      <c r="J36">
        <v>69.73</v>
      </c>
      <c r="K36">
        <f t="shared" si="4"/>
        <v>-1.5391132448460736E-2</v>
      </c>
      <c r="L36">
        <v>17.476185473000001</v>
      </c>
      <c r="M36">
        <f t="shared" si="5"/>
        <v>2.6565432557422049E-2</v>
      </c>
      <c r="N36">
        <v>37.92</v>
      </c>
      <c r="O36">
        <f t="shared" si="6"/>
        <v>1.9903173749327648E-2</v>
      </c>
      <c r="Q36">
        <v>-4.1753653444671809E-4</v>
      </c>
      <c r="R36">
        <v>-6.7449194113524902E-2</v>
      </c>
      <c r="S36">
        <v>-1.686487939259558E-2</v>
      </c>
      <c r="T36">
        <v>8.2256193936187799E-2</v>
      </c>
      <c r="U36">
        <v>-1.5391132448460736E-2</v>
      </c>
      <c r="V36">
        <v>2.6565432557422049E-2</v>
      </c>
      <c r="W36">
        <v>1.9903173749327648E-2</v>
      </c>
    </row>
    <row r="37" spans="1:23" x14ac:dyDescent="0.2">
      <c r="A37" s="1">
        <v>41274</v>
      </c>
      <c r="B37">
        <v>0.30649999999999999</v>
      </c>
      <c r="C37">
        <f t="shared" si="0"/>
        <v>2.4227234753550469E-2</v>
      </c>
      <c r="D37">
        <v>26.709700000000002</v>
      </c>
      <c r="E37">
        <f t="shared" si="1"/>
        <v>3.5581439038137562E-3</v>
      </c>
      <c r="F37">
        <v>19.006155994</v>
      </c>
      <c r="G37">
        <f t="shared" si="2"/>
        <v>-9.0737937389112844E-2</v>
      </c>
      <c r="H37">
        <v>12.5435</v>
      </c>
      <c r="I37">
        <f t="shared" si="3"/>
        <v>-4.6816107915095637E-3</v>
      </c>
      <c r="J37">
        <v>70.099999999999994</v>
      </c>
      <c r="K37">
        <f t="shared" si="4"/>
        <v>5.3061809837944979E-3</v>
      </c>
      <c r="L37">
        <v>17.701653964999998</v>
      </c>
      <c r="M37">
        <f t="shared" si="5"/>
        <v>1.2901470538198231E-2</v>
      </c>
      <c r="N37">
        <v>36.25</v>
      </c>
      <c r="O37">
        <f t="shared" si="6"/>
        <v>-4.4040084388185699E-2</v>
      </c>
      <c r="Q37">
        <v>2.4227234753550469E-2</v>
      </c>
      <c r="R37">
        <v>3.5581439038137562E-3</v>
      </c>
      <c r="S37">
        <v>-9.0737937389112844E-2</v>
      </c>
      <c r="T37">
        <v>-4.6816107915095637E-3</v>
      </c>
      <c r="U37">
        <v>5.3061809837944979E-3</v>
      </c>
      <c r="V37">
        <v>1.2901470538198231E-2</v>
      </c>
      <c r="W37">
        <v>-4.4040084388185699E-2</v>
      </c>
    </row>
    <row r="38" spans="1:23" x14ac:dyDescent="0.2">
      <c r="A38" s="1">
        <v>41305</v>
      </c>
      <c r="B38">
        <v>0.30649999999999999</v>
      </c>
      <c r="C38">
        <f t="shared" si="0"/>
        <v>0</v>
      </c>
      <c r="D38">
        <v>27.45</v>
      </c>
      <c r="E38">
        <f t="shared" si="1"/>
        <v>2.7716522461877058E-2</v>
      </c>
      <c r="F38">
        <v>16.267483732999999</v>
      </c>
      <c r="G38">
        <f t="shared" si="2"/>
        <v>-0.14409395891860327</v>
      </c>
      <c r="H38">
        <v>13.275</v>
      </c>
      <c r="I38">
        <f t="shared" si="3"/>
        <v>5.8317056642882809E-2</v>
      </c>
      <c r="J38">
        <v>73.92</v>
      </c>
      <c r="K38">
        <f t="shared" si="4"/>
        <v>5.4493580599144192E-2</v>
      </c>
      <c r="L38">
        <v>18.910575482999999</v>
      </c>
      <c r="M38">
        <f t="shared" si="5"/>
        <v>6.8294269020866633E-2</v>
      </c>
      <c r="N38">
        <v>37.24</v>
      </c>
      <c r="O38">
        <f t="shared" si="6"/>
        <v>2.731034482758626E-2</v>
      </c>
      <c r="Q38">
        <v>0</v>
      </c>
      <c r="R38">
        <v>2.7716522461877058E-2</v>
      </c>
      <c r="S38">
        <v>-0.14409395891860327</v>
      </c>
      <c r="T38">
        <v>5.8317056642882809E-2</v>
      </c>
      <c r="U38">
        <v>5.4493580599144192E-2</v>
      </c>
      <c r="V38">
        <v>6.8294269020866633E-2</v>
      </c>
      <c r="W38">
        <v>2.731034482758626E-2</v>
      </c>
    </row>
    <row r="39" spans="1:23" x14ac:dyDescent="0.2">
      <c r="A39" s="1">
        <v>41333</v>
      </c>
      <c r="B39">
        <v>0.3165</v>
      </c>
      <c r="C39">
        <f t="shared" si="0"/>
        <v>3.2626427406199053E-2</v>
      </c>
      <c r="D39">
        <v>27.8</v>
      </c>
      <c r="E39">
        <f t="shared" si="1"/>
        <v>1.2750455373406246E-2</v>
      </c>
      <c r="F39">
        <v>15.764269949999999</v>
      </c>
      <c r="G39">
        <f t="shared" si="2"/>
        <v>-3.0933719760185587E-2</v>
      </c>
      <c r="H39">
        <v>13.2135</v>
      </c>
      <c r="I39">
        <f t="shared" si="3"/>
        <v>-4.6327683615819629E-3</v>
      </c>
      <c r="J39">
        <v>76.11</v>
      </c>
      <c r="K39">
        <f t="shared" si="4"/>
        <v>2.9626623376623345E-2</v>
      </c>
      <c r="L39">
        <v>20.049429100000001</v>
      </c>
      <c r="M39">
        <f t="shared" si="5"/>
        <v>6.0223107330805201E-2</v>
      </c>
      <c r="N39">
        <v>38.72</v>
      </c>
      <c r="O39">
        <f t="shared" si="6"/>
        <v>3.9742212674543413E-2</v>
      </c>
      <c r="Q39">
        <v>3.2626427406199053E-2</v>
      </c>
      <c r="R39">
        <v>1.2750455373406246E-2</v>
      </c>
      <c r="S39">
        <v>-3.0933719760185587E-2</v>
      </c>
      <c r="T39">
        <v>-4.6327683615819629E-3</v>
      </c>
      <c r="U39">
        <v>2.9626623376623345E-2</v>
      </c>
      <c r="V39">
        <v>6.0223107330805201E-2</v>
      </c>
      <c r="W39">
        <v>3.9742212674543413E-2</v>
      </c>
    </row>
    <row r="40" spans="1:23" x14ac:dyDescent="0.2">
      <c r="A40" s="1">
        <v>41361</v>
      </c>
      <c r="B40">
        <v>0.32074999999999998</v>
      </c>
      <c r="C40">
        <f t="shared" si="0"/>
        <v>1.3428120063191077E-2</v>
      </c>
      <c r="D40">
        <v>28.605</v>
      </c>
      <c r="E40">
        <f t="shared" si="1"/>
        <v>2.895683453237409E-2</v>
      </c>
      <c r="F40">
        <v>15.809269905000001</v>
      </c>
      <c r="G40">
        <f t="shared" si="2"/>
        <v>2.8545536927957475E-3</v>
      </c>
      <c r="H40">
        <v>13.3245</v>
      </c>
      <c r="I40">
        <f t="shared" si="3"/>
        <v>8.400499489158865E-3</v>
      </c>
      <c r="J40">
        <v>81.53</v>
      </c>
      <c r="K40">
        <f t="shared" si="4"/>
        <v>7.1212718433845773E-2</v>
      </c>
      <c r="L40">
        <v>19.873959059000001</v>
      </c>
      <c r="M40">
        <f t="shared" si="5"/>
        <v>-8.7518721917124575E-3</v>
      </c>
      <c r="N40">
        <v>40.44</v>
      </c>
      <c r="O40">
        <f t="shared" si="6"/>
        <v>4.4421487603305755E-2</v>
      </c>
      <c r="Q40">
        <v>1.3428120063191077E-2</v>
      </c>
      <c r="R40">
        <v>2.895683453237409E-2</v>
      </c>
      <c r="S40">
        <v>2.8545536927957475E-3</v>
      </c>
      <c r="T40">
        <v>8.400499489158865E-3</v>
      </c>
      <c r="U40">
        <v>7.1212718433845773E-2</v>
      </c>
      <c r="V40">
        <v>-8.7518721917124575E-3</v>
      </c>
      <c r="W40">
        <v>4.4421487603305755E-2</v>
      </c>
    </row>
    <row r="41" spans="1:23" x14ac:dyDescent="0.2">
      <c r="A41" s="1">
        <v>41394</v>
      </c>
      <c r="B41">
        <v>0.34425</v>
      </c>
      <c r="C41">
        <f t="shared" si="0"/>
        <v>7.3265783320343017E-2</v>
      </c>
      <c r="D41">
        <v>33.1</v>
      </c>
      <c r="E41">
        <f t="shared" si="1"/>
        <v>0.15714036007690965</v>
      </c>
      <c r="F41">
        <v>15.813555615</v>
      </c>
      <c r="G41">
        <f t="shared" si="2"/>
        <v>2.7108842000629716E-4</v>
      </c>
      <c r="H41">
        <v>12.6905</v>
      </c>
      <c r="I41">
        <f t="shared" si="3"/>
        <v>-4.7581522758827745E-2</v>
      </c>
      <c r="J41">
        <v>85.23</v>
      </c>
      <c r="K41">
        <f t="shared" si="4"/>
        <v>4.5382067950447726E-2</v>
      </c>
      <c r="L41">
        <v>20.634245823000001</v>
      </c>
      <c r="M41">
        <f t="shared" si="5"/>
        <v>3.8255425692632745E-2</v>
      </c>
      <c r="N41">
        <v>42.33</v>
      </c>
      <c r="O41">
        <f t="shared" si="6"/>
        <v>4.6735905044510404E-2</v>
      </c>
      <c r="Q41">
        <v>7.3265783320343017E-2</v>
      </c>
      <c r="R41">
        <v>0.15714036007690965</v>
      </c>
      <c r="S41">
        <v>2.7108842000629716E-4</v>
      </c>
      <c r="T41">
        <v>-4.7581522758827745E-2</v>
      </c>
      <c r="U41">
        <v>4.5382067950447726E-2</v>
      </c>
      <c r="V41">
        <v>3.8255425692632745E-2</v>
      </c>
      <c r="W41">
        <v>4.6735905044510404E-2</v>
      </c>
    </row>
    <row r="42" spans="1:23" x14ac:dyDescent="0.2">
      <c r="A42" s="1">
        <v>41425</v>
      </c>
      <c r="B42">
        <v>0.36175000000000002</v>
      </c>
      <c r="C42">
        <f t="shared" si="0"/>
        <v>5.0835148874364605E-2</v>
      </c>
      <c r="D42">
        <v>34.9</v>
      </c>
      <c r="E42">
        <f t="shared" si="1"/>
        <v>5.4380664652567891E-2</v>
      </c>
      <c r="F42">
        <v>16.061948224000002</v>
      </c>
      <c r="G42">
        <f t="shared" si="2"/>
        <v>1.5707574883689526E-2</v>
      </c>
      <c r="H42">
        <v>13.46</v>
      </c>
      <c r="I42">
        <f t="shared" si="3"/>
        <v>6.0635908750640302E-2</v>
      </c>
      <c r="J42">
        <v>84.18</v>
      </c>
      <c r="K42">
        <f t="shared" si="4"/>
        <v>-1.2319605772615242E-2</v>
      </c>
      <c r="L42">
        <v>21.801577037000001</v>
      </c>
      <c r="M42">
        <f t="shared" si="5"/>
        <v>5.6572516583030759E-2</v>
      </c>
      <c r="N42">
        <v>39.99</v>
      </c>
      <c r="O42">
        <f t="shared" si="6"/>
        <v>-5.5279943302622168E-2</v>
      </c>
      <c r="Q42">
        <v>5.0835148874364605E-2</v>
      </c>
      <c r="R42">
        <v>5.4380664652567891E-2</v>
      </c>
      <c r="S42">
        <v>1.5707574883689526E-2</v>
      </c>
      <c r="T42">
        <v>6.0635908750640302E-2</v>
      </c>
      <c r="U42">
        <v>-1.2319605772615242E-2</v>
      </c>
      <c r="V42">
        <v>5.6572516583030759E-2</v>
      </c>
      <c r="W42">
        <v>-5.5279943302622168E-2</v>
      </c>
    </row>
    <row r="43" spans="1:23" x14ac:dyDescent="0.2">
      <c r="A43" s="1">
        <v>41453</v>
      </c>
      <c r="B43">
        <v>0.35099999999999998</v>
      </c>
      <c r="C43">
        <f t="shared" si="0"/>
        <v>-2.9716655148583376E-2</v>
      </c>
      <c r="D43">
        <v>34.545000000000002</v>
      </c>
      <c r="E43">
        <f t="shared" si="1"/>
        <v>-1.0171919770773551E-2</v>
      </c>
      <c r="F43">
        <v>14.161771552999999</v>
      </c>
      <c r="G43">
        <f t="shared" si="2"/>
        <v>-0.11830300063853587</v>
      </c>
      <c r="H43">
        <v>13.884499999999999</v>
      </c>
      <c r="I43">
        <f t="shared" si="3"/>
        <v>3.1537890044576397E-2</v>
      </c>
      <c r="J43">
        <v>85.86</v>
      </c>
      <c r="K43">
        <f t="shared" si="4"/>
        <v>1.9957234497505257E-2</v>
      </c>
      <c r="L43">
        <v>22.030598973</v>
      </c>
      <c r="M43">
        <f t="shared" si="5"/>
        <v>1.0504833462795829E-2</v>
      </c>
      <c r="N43">
        <v>40.11</v>
      </c>
      <c r="O43">
        <f t="shared" si="6"/>
        <v>3.0007501875468226E-3</v>
      </c>
      <c r="Q43">
        <v>-2.9716655148583376E-2</v>
      </c>
      <c r="R43">
        <v>-1.0171919770773551E-2</v>
      </c>
      <c r="S43">
        <v>-0.11830300063853587</v>
      </c>
      <c r="T43">
        <v>3.1537890044576397E-2</v>
      </c>
      <c r="U43">
        <v>1.9957234497505257E-2</v>
      </c>
      <c r="V43">
        <v>1.0504833462795829E-2</v>
      </c>
      <c r="W43">
        <v>3.0007501875468226E-3</v>
      </c>
    </row>
    <row r="44" spans="1:23" x14ac:dyDescent="0.2">
      <c r="A44" s="1">
        <v>41486</v>
      </c>
      <c r="B44">
        <v>0.360875</v>
      </c>
      <c r="C44">
        <f t="shared" si="0"/>
        <v>2.8133903133903199E-2</v>
      </c>
      <c r="D44">
        <v>31.84</v>
      </c>
      <c r="E44">
        <f t="shared" si="1"/>
        <v>-7.8303661890288076E-2</v>
      </c>
      <c r="F44">
        <v>16.161769552999999</v>
      </c>
      <c r="G44">
        <f t="shared" si="2"/>
        <v>0.14122512798028608</v>
      </c>
      <c r="H44">
        <v>15.061</v>
      </c>
      <c r="I44">
        <f t="shared" si="3"/>
        <v>8.4734776189275871E-2</v>
      </c>
      <c r="J44">
        <v>93.5</v>
      </c>
      <c r="K44">
        <f t="shared" si="4"/>
        <v>8.8982063824831134E-2</v>
      </c>
      <c r="L44">
        <v>22.215277938</v>
      </c>
      <c r="M44">
        <f t="shared" si="5"/>
        <v>8.3828390333978865E-3</v>
      </c>
      <c r="N44">
        <v>40.08</v>
      </c>
      <c r="O44">
        <f t="shared" si="6"/>
        <v>-7.4794315632014806E-4</v>
      </c>
      <c r="Q44">
        <v>2.8133903133903199E-2</v>
      </c>
      <c r="R44">
        <v>-7.8303661890288076E-2</v>
      </c>
      <c r="S44">
        <v>0.14122512798028608</v>
      </c>
      <c r="T44">
        <v>8.4734776189275871E-2</v>
      </c>
      <c r="U44">
        <v>8.8982063824831134E-2</v>
      </c>
      <c r="V44">
        <v>8.3828390333978865E-3</v>
      </c>
      <c r="W44">
        <v>-7.4794315632014806E-4</v>
      </c>
    </row>
    <row r="45" spans="1:23" x14ac:dyDescent="0.2">
      <c r="A45" s="1">
        <v>41516</v>
      </c>
      <c r="B45">
        <v>0.36875000000000002</v>
      </c>
      <c r="C45">
        <f t="shared" si="0"/>
        <v>2.182196051264294E-2</v>
      </c>
      <c r="D45">
        <v>33.4</v>
      </c>
      <c r="E45">
        <f t="shared" si="1"/>
        <v>4.8994974874371822E-2</v>
      </c>
      <c r="F45">
        <v>17.400554027999998</v>
      </c>
      <c r="G45">
        <f t="shared" si="2"/>
        <v>7.6649061907336266E-2</v>
      </c>
      <c r="H45">
        <v>14.048999999999999</v>
      </c>
      <c r="I45">
        <f t="shared" si="3"/>
        <v>-6.7193413451962045E-2</v>
      </c>
      <c r="J45">
        <v>86.41</v>
      </c>
      <c r="K45">
        <f t="shared" si="4"/>
        <v>-7.5828877005347628E-2</v>
      </c>
      <c r="L45">
        <v>21.193037324999999</v>
      </c>
      <c r="M45">
        <f t="shared" si="5"/>
        <v>-4.6015207005419598E-2</v>
      </c>
      <c r="N45">
        <v>38.18</v>
      </c>
      <c r="O45">
        <f t="shared" si="6"/>
        <v>-4.7405189620758452E-2</v>
      </c>
      <c r="Q45">
        <v>2.182196051264294E-2</v>
      </c>
      <c r="R45">
        <v>4.8994974874371822E-2</v>
      </c>
      <c r="S45">
        <v>7.6649061907336266E-2</v>
      </c>
      <c r="T45">
        <v>-6.7193413451962059E-2</v>
      </c>
      <c r="U45">
        <v>-7.5828877005347628E-2</v>
      </c>
      <c r="V45">
        <v>-4.6015207005419598E-2</v>
      </c>
      <c r="W45">
        <v>-4.7405189620758452E-2</v>
      </c>
    </row>
    <row r="46" spans="1:23" x14ac:dyDescent="0.2">
      <c r="A46" s="1">
        <v>41547</v>
      </c>
      <c r="B46">
        <v>0.38900000000000001</v>
      </c>
      <c r="C46">
        <f t="shared" si="0"/>
        <v>5.4915254237288103E-2</v>
      </c>
      <c r="D46">
        <v>33.28</v>
      </c>
      <c r="E46">
        <f t="shared" si="1"/>
        <v>-3.5928143712574087E-3</v>
      </c>
      <c r="F46">
        <v>17.026768688000001</v>
      </c>
      <c r="G46">
        <f t="shared" si="2"/>
        <v>-2.1481232114708721E-2</v>
      </c>
      <c r="H46">
        <v>15.632</v>
      </c>
      <c r="I46">
        <f t="shared" si="3"/>
        <v>0.11267705886539969</v>
      </c>
      <c r="J46">
        <v>86.69</v>
      </c>
      <c r="K46">
        <f t="shared" si="4"/>
        <v>3.2403656984145487E-3</v>
      </c>
      <c r="L46">
        <v>21.918990818000001</v>
      </c>
      <c r="M46">
        <f t="shared" si="5"/>
        <v>3.4254339378888547E-2</v>
      </c>
      <c r="N46">
        <v>37.880000000000003</v>
      </c>
      <c r="O46">
        <f t="shared" si="6"/>
        <v>-7.8575170246201458E-3</v>
      </c>
      <c r="Q46">
        <v>5.4915254237288103E-2</v>
      </c>
      <c r="R46">
        <v>-3.5928143712574087E-3</v>
      </c>
      <c r="S46">
        <v>-2.1481232114708721E-2</v>
      </c>
      <c r="T46">
        <v>0.11267705886539969</v>
      </c>
      <c r="U46">
        <v>3.2403656984145487E-3</v>
      </c>
      <c r="V46">
        <v>3.4254339378888547E-2</v>
      </c>
      <c r="W46">
        <v>-7.8575170246201458E-3</v>
      </c>
    </row>
    <row r="47" spans="1:23" x14ac:dyDescent="0.2">
      <c r="A47" s="1">
        <v>41578</v>
      </c>
      <c r="B47">
        <v>0.37972499999999998</v>
      </c>
      <c r="C47">
        <f t="shared" si="0"/>
        <v>-2.3843187660668466E-2</v>
      </c>
      <c r="D47">
        <v>35.405000000000001</v>
      </c>
      <c r="E47">
        <f t="shared" si="1"/>
        <v>6.3852163461538464E-2</v>
      </c>
      <c r="F47">
        <v>18.667909903999998</v>
      </c>
      <c r="G47">
        <f t="shared" si="2"/>
        <v>9.6385946510016834E-2</v>
      </c>
      <c r="H47">
        <v>18.201499999999999</v>
      </c>
      <c r="I47">
        <f t="shared" si="3"/>
        <v>0.16437436028659158</v>
      </c>
      <c r="J47">
        <v>92.61</v>
      </c>
      <c r="K47">
        <f t="shared" si="4"/>
        <v>6.8289306725112492E-2</v>
      </c>
      <c r="L47">
        <v>25.789491564999999</v>
      </c>
      <c r="M47">
        <f t="shared" si="5"/>
        <v>0.17658206890718345</v>
      </c>
      <c r="N47">
        <v>39.57</v>
      </c>
      <c r="O47">
        <f t="shared" si="6"/>
        <v>4.4614572333685258E-2</v>
      </c>
      <c r="Q47">
        <v>-2.3843187660668466E-2</v>
      </c>
      <c r="R47">
        <v>6.3852163461538464E-2</v>
      </c>
      <c r="S47">
        <v>9.6385946510016834E-2</v>
      </c>
      <c r="T47">
        <v>0.16437436028659158</v>
      </c>
      <c r="U47">
        <v>6.8289306725112492E-2</v>
      </c>
      <c r="V47">
        <v>0.17658206890718345</v>
      </c>
      <c r="W47">
        <v>4.4614572333685258E-2</v>
      </c>
    </row>
    <row r="48" spans="1:23" x14ac:dyDescent="0.2">
      <c r="A48" s="1">
        <v>41607</v>
      </c>
      <c r="B48">
        <v>0.39</v>
      </c>
      <c r="C48">
        <f t="shared" si="0"/>
        <v>2.7059055895714095E-2</v>
      </c>
      <c r="D48">
        <v>38.130000000000003</v>
      </c>
      <c r="E48">
        <f t="shared" si="1"/>
        <v>7.6966530151108645E-2</v>
      </c>
      <c r="F48">
        <v>19.859622997999999</v>
      </c>
      <c r="G48">
        <f t="shared" si="2"/>
        <v>6.3837521186271132E-2</v>
      </c>
      <c r="H48">
        <v>19.681000000000001</v>
      </c>
      <c r="I48">
        <f t="shared" si="3"/>
        <v>8.1284509518446374E-2</v>
      </c>
      <c r="J48">
        <v>94.66</v>
      </c>
      <c r="K48">
        <f t="shared" si="4"/>
        <v>2.2135838462369044E-2</v>
      </c>
      <c r="L48">
        <v>26.515445058000001</v>
      </c>
      <c r="M48">
        <f t="shared" si="5"/>
        <v>2.8149197558637571E-2</v>
      </c>
      <c r="N48">
        <v>40.19</v>
      </c>
      <c r="O48">
        <f t="shared" si="6"/>
        <v>1.566843568359862E-2</v>
      </c>
      <c r="Q48">
        <v>2.7059055895714095E-2</v>
      </c>
      <c r="R48">
        <v>7.6966530151108645E-2</v>
      </c>
      <c r="S48">
        <v>6.3837521186271132E-2</v>
      </c>
      <c r="T48">
        <v>8.1284509518446374E-2</v>
      </c>
      <c r="U48">
        <v>2.2135838462369044E-2</v>
      </c>
      <c r="V48">
        <v>2.8149197558637571E-2</v>
      </c>
      <c r="W48">
        <v>1.566843568359862E-2</v>
      </c>
    </row>
    <row r="49" spans="1:23" x14ac:dyDescent="0.2">
      <c r="A49" s="1">
        <v>41639</v>
      </c>
      <c r="B49">
        <v>0.40050000000000002</v>
      </c>
      <c r="C49">
        <f t="shared" si="0"/>
        <v>2.6923076923076945E-2</v>
      </c>
      <c r="D49">
        <v>37.409999999999997</v>
      </c>
      <c r="E49">
        <f t="shared" si="1"/>
        <v>-1.8882769472856175E-2</v>
      </c>
      <c r="F49">
        <v>20.036408535</v>
      </c>
      <c r="G49">
        <f t="shared" si="2"/>
        <v>8.9017569476421681E-3</v>
      </c>
      <c r="H49">
        <v>19.939499999999999</v>
      </c>
      <c r="I49">
        <f t="shared" si="3"/>
        <v>1.3134495198414611E-2</v>
      </c>
      <c r="J49">
        <v>91.59</v>
      </c>
      <c r="K49">
        <f t="shared" si="4"/>
        <v>-3.2431861398689976E-2</v>
      </c>
      <c r="L49">
        <v>28.044927218000002</v>
      </c>
      <c r="M49">
        <f t="shared" si="5"/>
        <v>5.7682688586007308E-2</v>
      </c>
      <c r="N49">
        <v>41.31</v>
      </c>
      <c r="O49">
        <f t="shared" si="6"/>
        <v>2.7867628763374088E-2</v>
      </c>
      <c r="Q49">
        <v>2.6923076923076945E-2</v>
      </c>
      <c r="R49">
        <v>-1.8882769472856175E-2</v>
      </c>
      <c r="S49">
        <v>8.9017569476421681E-3</v>
      </c>
      <c r="T49">
        <v>1.3134495198414611E-2</v>
      </c>
      <c r="U49">
        <v>-3.2431861398689976E-2</v>
      </c>
      <c r="V49">
        <v>5.7682688586007308E-2</v>
      </c>
      <c r="W49">
        <v>2.7867628763374088E-2</v>
      </c>
    </row>
    <row r="50" spans="1:23" x14ac:dyDescent="0.2">
      <c r="A50" s="1">
        <v>41670</v>
      </c>
      <c r="B50">
        <v>0.39250000000000002</v>
      </c>
      <c r="C50">
        <f t="shared" si="0"/>
        <v>-1.9975031210986285E-2</v>
      </c>
      <c r="D50">
        <v>37.840000000000003</v>
      </c>
      <c r="E50">
        <f t="shared" si="1"/>
        <v>1.1494252873563402E-2</v>
      </c>
      <c r="F50">
        <v>17.878553549999999</v>
      </c>
      <c r="G50">
        <f t="shared" si="2"/>
        <v>-0.10769669530498023</v>
      </c>
      <c r="H50">
        <v>17.9345</v>
      </c>
      <c r="I50">
        <f t="shared" si="3"/>
        <v>-0.10055417638356022</v>
      </c>
      <c r="J50">
        <v>88.47</v>
      </c>
      <c r="K50">
        <f t="shared" si="4"/>
        <v>-3.4064854241729496E-2</v>
      </c>
      <c r="L50">
        <v>29.552888523</v>
      </c>
      <c r="M50">
        <f t="shared" si="5"/>
        <v>5.3769485414536848E-2</v>
      </c>
      <c r="N50">
        <v>37.82</v>
      </c>
      <c r="O50">
        <f t="shared" si="6"/>
        <v>-8.4483175986444004E-2</v>
      </c>
      <c r="Q50">
        <v>-1.9975031210986285E-2</v>
      </c>
      <c r="R50">
        <v>1.1494252873563402E-2</v>
      </c>
      <c r="S50">
        <v>-0.10769669530498023</v>
      </c>
      <c r="T50">
        <v>-0.10055417638356022</v>
      </c>
      <c r="U50">
        <v>-3.4064854241729496E-2</v>
      </c>
      <c r="V50">
        <v>5.3769485414536848E-2</v>
      </c>
      <c r="W50">
        <v>-8.4483175986444004E-2</v>
      </c>
    </row>
    <row r="51" spans="1:23" x14ac:dyDescent="0.2">
      <c r="A51" s="1">
        <v>41698</v>
      </c>
      <c r="B51">
        <v>0.45950000000000002</v>
      </c>
      <c r="C51">
        <f t="shared" si="0"/>
        <v>0.17070063694267515</v>
      </c>
      <c r="D51">
        <v>38.31</v>
      </c>
      <c r="E51">
        <f t="shared" si="1"/>
        <v>1.2420718816067622E-2</v>
      </c>
      <c r="F51">
        <v>18.794266919999998</v>
      </c>
      <c r="G51">
        <f t="shared" si="2"/>
        <v>5.1218537754694302E-2</v>
      </c>
      <c r="H51">
        <v>18.105</v>
      </c>
      <c r="I51">
        <f t="shared" si="3"/>
        <v>9.5068164710474523E-3</v>
      </c>
      <c r="J51">
        <v>92.12</v>
      </c>
      <c r="K51">
        <f t="shared" si="4"/>
        <v>4.1256923250819554E-2</v>
      </c>
      <c r="L51">
        <v>30.420729513000001</v>
      </c>
      <c r="M51">
        <f t="shared" si="5"/>
        <v>2.9365690914598428E-2</v>
      </c>
      <c r="N51">
        <v>38.200000000000003</v>
      </c>
      <c r="O51">
        <f t="shared" si="6"/>
        <v>1.0047593865679601E-2</v>
      </c>
      <c r="Q51">
        <v>0.17070063694267515</v>
      </c>
      <c r="R51">
        <v>1.2420718816067622E-2</v>
      </c>
      <c r="S51">
        <v>5.1218537754694302E-2</v>
      </c>
      <c r="T51">
        <v>9.5068164710474523E-3</v>
      </c>
      <c r="U51">
        <v>4.1256923250819554E-2</v>
      </c>
      <c r="V51">
        <v>2.9365690914598428E-2</v>
      </c>
      <c r="W51">
        <v>1.0047593865679601E-2</v>
      </c>
    </row>
    <row r="52" spans="1:23" x14ac:dyDescent="0.2">
      <c r="A52" s="1">
        <v>41729</v>
      </c>
      <c r="B52">
        <v>0.44774999999999998</v>
      </c>
      <c r="C52">
        <f t="shared" si="0"/>
        <v>-2.5571273122959821E-2</v>
      </c>
      <c r="D52">
        <v>40.99</v>
      </c>
      <c r="E52">
        <f t="shared" si="1"/>
        <v>6.9955625163142771E-2</v>
      </c>
      <c r="F52">
        <v>19.169266544999999</v>
      </c>
      <c r="G52">
        <f t="shared" si="2"/>
        <v>1.9952873213742832E-2</v>
      </c>
      <c r="H52">
        <v>16.818249999999999</v>
      </c>
      <c r="I52">
        <f t="shared" si="3"/>
        <v>-7.1071527202430346E-2</v>
      </c>
      <c r="J52">
        <v>98.23</v>
      </c>
      <c r="K52">
        <f t="shared" si="4"/>
        <v>6.6326530612244888E-2</v>
      </c>
      <c r="L52">
        <v>27.889776867999998</v>
      </c>
      <c r="M52">
        <f t="shared" si="5"/>
        <v>-8.3198288979836096E-2</v>
      </c>
      <c r="N52">
        <v>38.659999999999997</v>
      </c>
      <c r="O52">
        <f t="shared" si="6"/>
        <v>1.2041884816753763E-2</v>
      </c>
      <c r="Q52">
        <v>-2.5571273122959821E-2</v>
      </c>
      <c r="R52">
        <v>6.9955625163142771E-2</v>
      </c>
      <c r="S52">
        <v>1.9952873213742832E-2</v>
      </c>
      <c r="T52">
        <v>-7.1071527202430346E-2</v>
      </c>
      <c r="U52">
        <v>6.6326530612244888E-2</v>
      </c>
      <c r="V52">
        <v>-8.3198288979836096E-2</v>
      </c>
      <c r="W52">
        <v>1.2041884816753763E-2</v>
      </c>
    </row>
    <row r="53" spans="1:23" x14ac:dyDescent="0.2">
      <c r="A53" s="1">
        <v>41759</v>
      </c>
      <c r="B53">
        <v>0.46174999999999999</v>
      </c>
      <c r="C53">
        <f t="shared" si="0"/>
        <v>3.1267448352875517E-2</v>
      </c>
      <c r="D53">
        <v>40.4</v>
      </c>
      <c r="E53">
        <f t="shared" si="1"/>
        <v>-1.4393754574286493E-2</v>
      </c>
      <c r="F53">
        <v>21.074621783000001</v>
      </c>
      <c r="G53">
        <f t="shared" si="2"/>
        <v>9.9396355803554937E-2</v>
      </c>
      <c r="H53">
        <v>15.2065</v>
      </c>
      <c r="I53">
        <f t="shared" si="3"/>
        <v>-9.583339527001912E-2</v>
      </c>
      <c r="J53">
        <v>101.29</v>
      </c>
      <c r="K53">
        <f t="shared" si="4"/>
        <v>3.1151379415657154E-2</v>
      </c>
      <c r="L53">
        <v>26.744</v>
      </c>
      <c r="M53">
        <f t="shared" si="5"/>
        <v>-4.1082324660497126E-2</v>
      </c>
      <c r="N53">
        <v>40.79</v>
      </c>
      <c r="O53">
        <f t="shared" si="6"/>
        <v>5.5095706156233902E-2</v>
      </c>
      <c r="Q53">
        <v>3.1267448352875517E-2</v>
      </c>
      <c r="R53">
        <v>-1.4393754574286493E-2</v>
      </c>
      <c r="S53">
        <v>9.9396355803554937E-2</v>
      </c>
      <c r="T53">
        <v>-9.583339527001912E-2</v>
      </c>
      <c r="U53">
        <v>3.1151379415657154E-2</v>
      </c>
      <c r="V53">
        <v>-4.1082324660497126E-2</v>
      </c>
      <c r="W53">
        <v>5.5095706156233902E-2</v>
      </c>
    </row>
    <row r="54" spans="1:23" x14ac:dyDescent="0.2">
      <c r="A54" s="1">
        <v>41789</v>
      </c>
      <c r="B54">
        <v>0.47499999999999998</v>
      </c>
      <c r="C54">
        <f t="shared" si="0"/>
        <v>2.8695181375202997E-2</v>
      </c>
      <c r="D54">
        <v>40.94</v>
      </c>
      <c r="E54">
        <f t="shared" si="1"/>
        <v>1.3366336633663345E-2</v>
      </c>
      <c r="F54">
        <v>22.607120250000001</v>
      </c>
      <c r="G54">
        <f t="shared" si="2"/>
        <v>7.2717721000155791E-2</v>
      </c>
      <c r="H54">
        <v>15.6275</v>
      </c>
      <c r="I54">
        <f t="shared" si="3"/>
        <v>2.7685529214480607E-2</v>
      </c>
      <c r="J54">
        <v>101.46</v>
      </c>
      <c r="K54">
        <f t="shared" si="4"/>
        <v>1.6783492941059087E-3</v>
      </c>
      <c r="L54">
        <v>28.5825</v>
      </c>
      <c r="M54">
        <f t="shared" si="5"/>
        <v>6.8744391265330537E-2</v>
      </c>
      <c r="N54">
        <v>40.909999999999997</v>
      </c>
      <c r="O54">
        <f t="shared" si="6"/>
        <v>2.9418975239028549E-3</v>
      </c>
      <c r="Q54">
        <v>2.8695181375202997E-2</v>
      </c>
      <c r="R54">
        <v>1.3366336633663345E-2</v>
      </c>
      <c r="S54">
        <v>7.2717721000155791E-2</v>
      </c>
      <c r="T54">
        <v>2.7685529214480607E-2</v>
      </c>
      <c r="U54">
        <v>1.6783492941059087E-3</v>
      </c>
      <c r="V54">
        <v>6.8744391265330537E-2</v>
      </c>
      <c r="W54">
        <v>2.9418975239028549E-3</v>
      </c>
    </row>
    <row r="55" spans="1:23" x14ac:dyDescent="0.2">
      <c r="A55" s="1">
        <v>41820</v>
      </c>
      <c r="B55">
        <v>0.46350000000000002</v>
      </c>
      <c r="C55">
        <f t="shared" si="0"/>
        <v>-2.421052631578938E-2</v>
      </c>
      <c r="D55">
        <v>41.7</v>
      </c>
      <c r="E55">
        <f t="shared" si="1"/>
        <v>1.8563751831949318E-2</v>
      </c>
      <c r="F55">
        <v>23.232500000000002</v>
      </c>
      <c r="G55">
        <f t="shared" si="2"/>
        <v>2.7662954993128788E-2</v>
      </c>
      <c r="H55">
        <v>16.239000000000001</v>
      </c>
      <c r="I55">
        <f t="shared" si="3"/>
        <v>3.9129739241721403E-2</v>
      </c>
      <c r="J55">
        <v>104.62</v>
      </c>
      <c r="K55">
        <f t="shared" si="4"/>
        <v>3.1145278927656329E-2</v>
      </c>
      <c r="L55">
        <v>29.233499999999999</v>
      </c>
      <c r="M55">
        <f t="shared" si="5"/>
        <v>2.2776174232484906E-2</v>
      </c>
      <c r="N55">
        <v>42.36</v>
      </c>
      <c r="O55">
        <f t="shared" si="6"/>
        <v>3.5443656807626567E-2</v>
      </c>
      <c r="Q55">
        <v>-2.421052631578938E-2</v>
      </c>
      <c r="R55">
        <v>1.8563751831949318E-2</v>
      </c>
      <c r="S55">
        <v>2.7662954993128788E-2</v>
      </c>
      <c r="T55">
        <v>3.9129739241721403E-2</v>
      </c>
      <c r="U55">
        <v>3.1145278927656329E-2</v>
      </c>
      <c r="V55">
        <v>2.2776174232484906E-2</v>
      </c>
      <c r="W55">
        <v>3.5443656807626567E-2</v>
      </c>
    </row>
    <row r="56" spans="1:23" x14ac:dyDescent="0.2">
      <c r="A56" s="1">
        <v>41851</v>
      </c>
      <c r="B56">
        <v>0.4375</v>
      </c>
      <c r="C56">
        <f t="shared" si="0"/>
        <v>-5.6094929881337692E-2</v>
      </c>
      <c r="D56">
        <v>43.16</v>
      </c>
      <c r="E56">
        <f t="shared" si="1"/>
        <v>3.5011990407673707E-2</v>
      </c>
      <c r="F56">
        <v>23.9</v>
      </c>
      <c r="G56">
        <f t="shared" si="2"/>
        <v>2.873130313138908E-2</v>
      </c>
      <c r="H56">
        <v>15.6495</v>
      </c>
      <c r="I56">
        <f t="shared" si="3"/>
        <v>-3.6301496397561486E-2</v>
      </c>
      <c r="J56">
        <v>100.09</v>
      </c>
      <c r="K56">
        <f t="shared" si="4"/>
        <v>-4.3299560313515589E-2</v>
      </c>
      <c r="L56">
        <v>28.977499999999999</v>
      </c>
      <c r="M56">
        <f t="shared" si="5"/>
        <v>-8.7570766415242859E-3</v>
      </c>
      <c r="N56">
        <v>39.29</v>
      </c>
      <c r="O56">
        <f t="shared" si="6"/>
        <v>-7.2474032105760158E-2</v>
      </c>
      <c r="Q56">
        <v>-5.6094929881337692E-2</v>
      </c>
      <c r="R56">
        <v>3.5011990407673707E-2</v>
      </c>
      <c r="S56">
        <v>2.873130313138908E-2</v>
      </c>
      <c r="T56">
        <v>-3.6301496397561486E-2</v>
      </c>
      <c r="U56">
        <v>-4.3299560313515589E-2</v>
      </c>
      <c r="V56">
        <v>-8.7570766415242859E-3</v>
      </c>
      <c r="W56">
        <v>-7.2474032105760158E-2</v>
      </c>
    </row>
    <row r="57" spans="1:23" x14ac:dyDescent="0.2">
      <c r="A57" s="1">
        <v>41880</v>
      </c>
      <c r="B57">
        <v>0.48625000000000002</v>
      </c>
      <c r="C57">
        <f t="shared" si="0"/>
        <v>0.11142857142857146</v>
      </c>
      <c r="D57">
        <v>45.43</v>
      </c>
      <c r="E57">
        <f t="shared" si="1"/>
        <v>5.2594995366079783E-2</v>
      </c>
      <c r="F57">
        <v>25.625</v>
      </c>
      <c r="G57">
        <f t="shared" si="2"/>
        <v>7.2175732217573285E-2</v>
      </c>
      <c r="H57">
        <v>16.952000000000002</v>
      </c>
      <c r="I57">
        <f t="shared" si="3"/>
        <v>8.3229496150036872E-2</v>
      </c>
      <c r="J57">
        <v>103.73</v>
      </c>
      <c r="K57">
        <f t="shared" si="4"/>
        <v>3.6367269457488263E-2</v>
      </c>
      <c r="L57">
        <v>29.117999999999999</v>
      </c>
      <c r="M57">
        <f t="shared" si="5"/>
        <v>4.848589422828036E-3</v>
      </c>
      <c r="N57">
        <v>41.72</v>
      </c>
      <c r="O57">
        <f t="shared" si="6"/>
        <v>6.184779842199032E-2</v>
      </c>
      <c r="Q57">
        <v>0.11142857142857146</v>
      </c>
      <c r="R57">
        <v>5.2594995366079783E-2</v>
      </c>
      <c r="S57">
        <v>7.2175732217573285E-2</v>
      </c>
      <c r="T57">
        <v>8.3229496150036872E-2</v>
      </c>
      <c r="U57">
        <v>3.6367269457488263E-2</v>
      </c>
      <c r="V57">
        <v>4.848589422828036E-3</v>
      </c>
      <c r="W57">
        <v>6.184779842199032E-2</v>
      </c>
    </row>
    <row r="58" spans="1:23" x14ac:dyDescent="0.2">
      <c r="A58" s="1">
        <v>41912</v>
      </c>
      <c r="B58">
        <v>0.46124999999999999</v>
      </c>
      <c r="C58">
        <f t="shared" si="0"/>
        <v>-5.1413881748072023E-2</v>
      </c>
      <c r="D58">
        <v>46.36</v>
      </c>
      <c r="E58">
        <f t="shared" si="1"/>
        <v>2.0471054369359448E-2</v>
      </c>
      <c r="F58">
        <v>25.1875</v>
      </c>
      <c r="G58">
        <f t="shared" si="2"/>
        <v>-1.7073170731707318E-2</v>
      </c>
      <c r="H58">
        <v>16.122</v>
      </c>
      <c r="I58">
        <f t="shared" si="3"/>
        <v>-4.8961774421897225E-2</v>
      </c>
      <c r="J58">
        <v>106.59</v>
      </c>
      <c r="K58">
        <f t="shared" si="4"/>
        <v>2.7571580063626717E-2</v>
      </c>
      <c r="L58">
        <v>29.420500000000001</v>
      </c>
      <c r="M58">
        <f t="shared" si="5"/>
        <v>1.0388762964489389E-2</v>
      </c>
      <c r="N58">
        <v>42.66</v>
      </c>
      <c r="O58">
        <f t="shared" si="6"/>
        <v>2.2531160115052677E-2</v>
      </c>
      <c r="Q58">
        <v>-5.1413881748072023E-2</v>
      </c>
      <c r="R58">
        <v>2.0471054369359448E-2</v>
      </c>
      <c r="S58">
        <v>-1.7073170731707318E-2</v>
      </c>
      <c r="T58">
        <v>-4.8961774421897225E-2</v>
      </c>
      <c r="U58">
        <v>2.7571580063626717E-2</v>
      </c>
      <c r="V58">
        <v>1.0388762964489389E-2</v>
      </c>
      <c r="W58">
        <v>2.2531160115052677E-2</v>
      </c>
    </row>
    <row r="59" spans="1:23" x14ac:dyDescent="0.2">
      <c r="A59" s="1">
        <v>41943</v>
      </c>
      <c r="B59">
        <v>0.48849999999999999</v>
      </c>
      <c r="C59">
        <f t="shared" si="0"/>
        <v>5.9078590785907853E-2</v>
      </c>
      <c r="D59">
        <v>46.95</v>
      </c>
      <c r="E59">
        <f t="shared" si="1"/>
        <v>1.2726488352027684E-2</v>
      </c>
      <c r="F59">
        <v>27</v>
      </c>
      <c r="G59">
        <f t="shared" si="2"/>
        <v>7.1960297766749379E-2</v>
      </c>
      <c r="H59">
        <v>15.273</v>
      </c>
      <c r="I59">
        <f t="shared" si="3"/>
        <v>-5.2660960178637896E-2</v>
      </c>
      <c r="J59">
        <v>107.78</v>
      </c>
      <c r="K59">
        <f t="shared" si="4"/>
        <v>1.1164274322169038E-2</v>
      </c>
      <c r="L59">
        <v>28.3935</v>
      </c>
      <c r="M59">
        <f t="shared" si="5"/>
        <v>-3.4907632433167385E-2</v>
      </c>
      <c r="N59">
        <v>41.88</v>
      </c>
      <c r="O59">
        <f t="shared" si="6"/>
        <v>-1.828410689170169E-2</v>
      </c>
      <c r="Q59">
        <v>5.9078590785907853E-2</v>
      </c>
      <c r="R59">
        <v>1.2726488352027684E-2</v>
      </c>
      <c r="S59">
        <v>7.1960297766749379E-2</v>
      </c>
      <c r="T59">
        <v>-5.2660960178637896E-2</v>
      </c>
      <c r="U59">
        <v>1.1164274322169038E-2</v>
      </c>
      <c r="V59">
        <v>-3.4907632433167385E-2</v>
      </c>
      <c r="W59">
        <v>-1.828410689170169E-2</v>
      </c>
    </row>
    <row r="60" spans="1:23" x14ac:dyDescent="0.2">
      <c r="A60" s="1">
        <v>41971</v>
      </c>
      <c r="B60">
        <v>0.52424999999999999</v>
      </c>
      <c r="C60">
        <f t="shared" si="0"/>
        <v>7.3183213920163775E-2</v>
      </c>
      <c r="D60">
        <v>47.81</v>
      </c>
      <c r="E60">
        <f t="shared" si="1"/>
        <v>1.831735889243875E-2</v>
      </c>
      <c r="F60">
        <v>29.732500000000002</v>
      </c>
      <c r="G60">
        <f t="shared" si="2"/>
        <v>0.10120370370370377</v>
      </c>
      <c r="H60">
        <v>16.931999999999999</v>
      </c>
      <c r="I60">
        <f t="shared" si="3"/>
        <v>0.10862306030249452</v>
      </c>
      <c r="J60">
        <v>108.25</v>
      </c>
      <c r="K60">
        <f t="shared" si="4"/>
        <v>4.360734830209676E-3</v>
      </c>
      <c r="L60">
        <v>27.454000000000001</v>
      </c>
      <c r="M60">
        <f t="shared" si="5"/>
        <v>-3.308855900117981E-2</v>
      </c>
      <c r="N60">
        <v>44.83</v>
      </c>
      <c r="O60">
        <f t="shared" si="6"/>
        <v>7.0439350525310307E-2</v>
      </c>
      <c r="Q60">
        <v>7.3183213920163775E-2</v>
      </c>
      <c r="R60">
        <v>1.831735889243875E-2</v>
      </c>
      <c r="S60">
        <v>0.10120370370370377</v>
      </c>
      <c r="T60">
        <v>0.10862306030249452</v>
      </c>
      <c r="U60">
        <v>4.360734830209676E-3</v>
      </c>
      <c r="V60">
        <v>-3.308855900117981E-2</v>
      </c>
      <c r="W60">
        <v>7.0439350525310307E-2</v>
      </c>
    </row>
    <row r="61" spans="1:23" x14ac:dyDescent="0.2">
      <c r="A61" s="1">
        <v>42004</v>
      </c>
      <c r="B61">
        <v>0.50124999999999997</v>
      </c>
      <c r="C61">
        <f t="shared" si="0"/>
        <v>-4.3872198378636186E-2</v>
      </c>
      <c r="D61">
        <v>46.45</v>
      </c>
      <c r="E61">
        <f t="shared" si="1"/>
        <v>-2.8445931813428142E-2</v>
      </c>
      <c r="F61">
        <v>27.594999999999999</v>
      </c>
      <c r="G61">
        <f t="shared" si="2"/>
        <v>-7.189102833599606E-2</v>
      </c>
      <c r="H61">
        <v>15.5175</v>
      </c>
      <c r="I61">
        <f t="shared" si="3"/>
        <v>-8.3540042523033237E-2</v>
      </c>
      <c r="J61">
        <v>104.57</v>
      </c>
      <c r="K61">
        <f t="shared" si="4"/>
        <v>-3.3995381062355723E-2</v>
      </c>
      <c r="L61">
        <v>26.533000000000001</v>
      </c>
      <c r="M61">
        <f t="shared" si="5"/>
        <v>-3.3547024113061825E-2</v>
      </c>
      <c r="N61">
        <v>42.22</v>
      </c>
      <c r="O61">
        <f t="shared" si="6"/>
        <v>-5.8219942003122901E-2</v>
      </c>
      <c r="Q61">
        <v>-4.3872198378636186E-2</v>
      </c>
      <c r="R61">
        <v>-2.8445931813428142E-2</v>
      </c>
      <c r="S61">
        <v>-7.189102833599606E-2</v>
      </c>
      <c r="T61">
        <v>-8.3540042523033237E-2</v>
      </c>
      <c r="U61">
        <v>-3.3995381062355723E-2</v>
      </c>
      <c r="V61">
        <v>-3.3547024113061825E-2</v>
      </c>
      <c r="W61">
        <v>-5.8219942003122901E-2</v>
      </c>
    </row>
    <row r="62" spans="1:23" x14ac:dyDescent="0.2">
      <c r="A62" s="1">
        <v>42034</v>
      </c>
      <c r="B62">
        <v>0.48012500000000002</v>
      </c>
      <c r="C62">
        <f t="shared" si="0"/>
        <v>-4.2144638403989923E-2</v>
      </c>
      <c r="D62">
        <v>40.4</v>
      </c>
      <c r="E62">
        <f t="shared" si="1"/>
        <v>-0.13024757804090428</v>
      </c>
      <c r="F62">
        <v>29.29</v>
      </c>
      <c r="G62">
        <f t="shared" si="2"/>
        <v>6.1424171045479266E-2</v>
      </c>
      <c r="H62">
        <v>17.726500000000001</v>
      </c>
      <c r="I62">
        <f t="shared" si="3"/>
        <v>0.14235540518769141</v>
      </c>
      <c r="J62">
        <v>100.14</v>
      </c>
      <c r="K62">
        <f t="shared" si="4"/>
        <v>-4.2363966720856773E-2</v>
      </c>
      <c r="L62">
        <v>26.877500000000001</v>
      </c>
      <c r="M62">
        <f t="shared" si="5"/>
        <v>1.2983831455169036E-2</v>
      </c>
      <c r="N62">
        <v>41.17</v>
      </c>
      <c r="O62">
        <f t="shared" si="6"/>
        <v>-2.4869729985788659E-2</v>
      </c>
      <c r="Q62">
        <v>-4.2144638403989923E-2</v>
      </c>
      <c r="R62">
        <v>-0.13024757804090428</v>
      </c>
      <c r="S62">
        <v>6.1424171045479266E-2</v>
      </c>
      <c r="T62">
        <v>0.14235540518769141</v>
      </c>
      <c r="U62">
        <v>-4.2363966720856773E-2</v>
      </c>
      <c r="V62">
        <v>1.2983831455169036E-2</v>
      </c>
      <c r="W62">
        <v>-2.4869729985788659E-2</v>
      </c>
    </row>
    <row r="63" spans="1:23" x14ac:dyDescent="0.2">
      <c r="A63" s="1">
        <v>42062</v>
      </c>
      <c r="B63">
        <v>0.55149999999999999</v>
      </c>
      <c r="C63">
        <f t="shared" si="0"/>
        <v>0.14865920333246543</v>
      </c>
      <c r="D63">
        <v>43.85</v>
      </c>
      <c r="E63">
        <f t="shared" si="1"/>
        <v>8.5396039603960472E-2</v>
      </c>
      <c r="F63">
        <v>32.115000000000002</v>
      </c>
      <c r="G63">
        <f t="shared" si="2"/>
        <v>9.644930010242414E-2</v>
      </c>
      <c r="H63">
        <v>19.007999999999999</v>
      </c>
      <c r="I63">
        <f t="shared" si="3"/>
        <v>7.2292894818491951E-2</v>
      </c>
      <c r="J63">
        <v>102.51</v>
      </c>
      <c r="K63">
        <f t="shared" si="4"/>
        <v>2.3666866387058165E-2</v>
      </c>
      <c r="L63">
        <v>28.131499999999999</v>
      </c>
      <c r="M63">
        <f t="shared" si="5"/>
        <v>4.6656125011626741E-2</v>
      </c>
      <c r="N63">
        <v>43.3</v>
      </c>
      <c r="O63">
        <f t="shared" si="6"/>
        <v>5.173670148166129E-2</v>
      </c>
      <c r="Q63">
        <v>0.14865920333246543</v>
      </c>
      <c r="R63">
        <v>8.5396039603960472E-2</v>
      </c>
      <c r="S63">
        <v>9.644930010242414E-2</v>
      </c>
      <c r="T63">
        <v>7.2292894818491951E-2</v>
      </c>
      <c r="U63">
        <v>2.3666866387058165E-2</v>
      </c>
      <c r="V63">
        <v>4.6656125011626741E-2</v>
      </c>
      <c r="W63">
        <v>5.173670148166129E-2</v>
      </c>
    </row>
    <row r="64" spans="1:23" x14ac:dyDescent="0.2">
      <c r="A64" s="1">
        <v>42094</v>
      </c>
      <c r="B64">
        <v>0.52312499999999995</v>
      </c>
      <c r="C64">
        <f t="shared" si="0"/>
        <v>-5.1450589301903972E-2</v>
      </c>
      <c r="D64">
        <v>40.655000000000001</v>
      </c>
      <c r="E64">
        <f t="shared" si="1"/>
        <v>-7.2862029646522233E-2</v>
      </c>
      <c r="F64">
        <v>31.107500000000002</v>
      </c>
      <c r="G64">
        <f t="shared" si="2"/>
        <v>-3.1371633193211901E-2</v>
      </c>
      <c r="H64">
        <v>18.605</v>
      </c>
      <c r="I64">
        <f t="shared" si="3"/>
        <v>-2.120159932659926E-2</v>
      </c>
      <c r="J64">
        <v>100.6</v>
      </c>
      <c r="K64">
        <f t="shared" si="4"/>
        <v>-1.8632328553311976E-2</v>
      </c>
      <c r="L64">
        <v>27.734999999999999</v>
      </c>
      <c r="M64">
        <f t="shared" si="5"/>
        <v>-1.4094520377512739E-2</v>
      </c>
      <c r="N64">
        <v>40.549999999999997</v>
      </c>
      <c r="O64">
        <f t="shared" si="6"/>
        <v>-6.3510392609699776E-2</v>
      </c>
      <c r="Q64">
        <v>-5.1450589301903972E-2</v>
      </c>
      <c r="R64">
        <v>-7.2862029646522233E-2</v>
      </c>
      <c r="S64">
        <v>-3.1371633193211901E-2</v>
      </c>
      <c r="T64">
        <v>-2.120159932659926E-2</v>
      </c>
      <c r="U64">
        <v>-1.8632328553311976E-2</v>
      </c>
      <c r="V64">
        <v>-1.4094520377512739E-2</v>
      </c>
      <c r="W64">
        <v>-6.3510392609699776E-2</v>
      </c>
    </row>
    <row r="65" spans="1:23" x14ac:dyDescent="0.2">
      <c r="A65" s="1">
        <v>42124</v>
      </c>
      <c r="B65">
        <v>0.55487500000000001</v>
      </c>
      <c r="C65">
        <f t="shared" si="0"/>
        <v>6.0692951015531772E-2</v>
      </c>
      <c r="D65">
        <v>48.64</v>
      </c>
      <c r="E65">
        <f t="shared" si="1"/>
        <v>0.19640880580494402</v>
      </c>
      <c r="F65">
        <v>31.287500000000001</v>
      </c>
      <c r="G65">
        <f t="shared" si="2"/>
        <v>5.7863859197942527E-3</v>
      </c>
      <c r="H65">
        <v>21.088999999999999</v>
      </c>
      <c r="I65">
        <f t="shared" si="3"/>
        <v>0.1335124966406879</v>
      </c>
      <c r="J65">
        <v>99.2</v>
      </c>
      <c r="K65">
        <f t="shared" si="4"/>
        <v>-1.3916500994035701E-2</v>
      </c>
      <c r="L65">
        <v>27.438500000000001</v>
      </c>
      <c r="M65">
        <f t="shared" si="5"/>
        <v>-1.069046331350273E-2</v>
      </c>
      <c r="N65">
        <v>40.56</v>
      </c>
      <c r="O65">
        <f t="shared" si="6"/>
        <v>2.4660912453773408E-4</v>
      </c>
      <c r="Q65">
        <v>6.0692951015531772E-2</v>
      </c>
      <c r="R65">
        <v>0.19640880580494402</v>
      </c>
      <c r="S65">
        <v>5.7863859197942527E-3</v>
      </c>
      <c r="T65">
        <v>0.1335124966406879</v>
      </c>
      <c r="U65">
        <v>-1.3916500994035701E-2</v>
      </c>
      <c r="V65">
        <v>-1.069046331350273E-2</v>
      </c>
      <c r="W65">
        <v>2.4660912453773408E-4</v>
      </c>
    </row>
    <row r="66" spans="1:23" x14ac:dyDescent="0.2">
      <c r="A66" s="1">
        <v>42153</v>
      </c>
      <c r="B66">
        <v>0.55325000000000002</v>
      </c>
      <c r="C66">
        <f t="shared" si="0"/>
        <v>-2.9285875197116243E-3</v>
      </c>
      <c r="D66">
        <v>46.86</v>
      </c>
      <c r="E66">
        <f t="shared" si="1"/>
        <v>-3.6595394736842125E-2</v>
      </c>
      <c r="F66">
        <v>32.57</v>
      </c>
      <c r="G66">
        <f t="shared" si="2"/>
        <v>4.099081102676784E-2</v>
      </c>
      <c r="H66">
        <v>21.461500000000001</v>
      </c>
      <c r="I66">
        <f t="shared" si="3"/>
        <v>1.76632367584998E-2</v>
      </c>
      <c r="J66">
        <v>100.14</v>
      </c>
      <c r="K66">
        <f t="shared" si="4"/>
        <v>9.4758064516128806E-3</v>
      </c>
      <c r="L66">
        <v>27.265999999999998</v>
      </c>
      <c r="M66">
        <f t="shared" si="5"/>
        <v>-6.2867868141481126E-3</v>
      </c>
      <c r="N66">
        <v>40.96</v>
      </c>
      <c r="O66">
        <f t="shared" si="6"/>
        <v>9.8619329388559794E-3</v>
      </c>
      <c r="Q66">
        <v>-2.9285875197116243E-3</v>
      </c>
      <c r="R66">
        <v>-3.6595394736842125E-2</v>
      </c>
      <c r="S66">
        <v>4.099081102676784E-2</v>
      </c>
      <c r="T66">
        <v>1.76632367584998E-2</v>
      </c>
      <c r="U66">
        <v>9.4758064516128806E-3</v>
      </c>
      <c r="V66">
        <v>-6.2867868141481126E-3</v>
      </c>
      <c r="W66">
        <v>9.8619329388559794E-3</v>
      </c>
    </row>
    <row r="67" spans="1:23" x14ac:dyDescent="0.2">
      <c r="A67" s="1">
        <v>42185</v>
      </c>
      <c r="B67">
        <v>0.50275000000000003</v>
      </c>
      <c r="C67">
        <f t="shared" si="0"/>
        <v>-9.1278807049254382E-2</v>
      </c>
      <c r="D67">
        <v>44.15</v>
      </c>
      <c r="E67">
        <f t="shared" si="1"/>
        <v>-5.7831839521980385E-2</v>
      </c>
      <c r="F67">
        <v>31.356249999999999</v>
      </c>
      <c r="G67">
        <f t="shared" si="2"/>
        <v>-3.7265888854774359E-2</v>
      </c>
      <c r="H67">
        <v>21.704499999999999</v>
      </c>
      <c r="I67">
        <f t="shared" si="3"/>
        <v>1.1322600936560749E-2</v>
      </c>
      <c r="J67">
        <v>97.46</v>
      </c>
      <c r="K67">
        <f t="shared" si="4"/>
        <v>-2.676253245456368E-2</v>
      </c>
      <c r="L67">
        <v>27.001999999999999</v>
      </c>
      <c r="M67">
        <f t="shared" si="5"/>
        <v>-9.6823883224528475E-3</v>
      </c>
      <c r="N67">
        <v>39.229999999999997</v>
      </c>
      <c r="O67">
        <f t="shared" si="6"/>
        <v>-4.2236328125000097E-2</v>
      </c>
      <c r="Q67">
        <v>-9.1278807049254382E-2</v>
      </c>
      <c r="R67">
        <v>-5.7831839521980385E-2</v>
      </c>
      <c r="S67">
        <v>-3.7265888854774359E-2</v>
      </c>
      <c r="T67">
        <v>1.1322600936560749E-2</v>
      </c>
      <c r="U67">
        <v>-2.676253245456368E-2</v>
      </c>
      <c r="V67">
        <v>-9.6823883224528475E-3</v>
      </c>
      <c r="W67">
        <v>-4.2236328125000097E-2</v>
      </c>
    </row>
    <row r="68" spans="1:23" x14ac:dyDescent="0.2">
      <c r="A68" s="1">
        <v>42216</v>
      </c>
      <c r="B68">
        <v>0.49875000000000003</v>
      </c>
      <c r="C68">
        <f t="shared" ref="C68:C131" si="7">(B68-B67)/B67</f>
        <v>-7.9562406762804638E-3</v>
      </c>
      <c r="D68">
        <v>46.7</v>
      </c>
      <c r="E68">
        <f t="shared" ref="E68:E131" si="8">(D68-D67)/D67</f>
        <v>5.7757644394111081E-2</v>
      </c>
      <c r="F68">
        <v>30.324999999999999</v>
      </c>
      <c r="G68">
        <f t="shared" ref="G68:G131" si="9">(F68-F67)/F67</f>
        <v>-3.2888180187362968E-2</v>
      </c>
      <c r="H68">
        <v>26.807500000000001</v>
      </c>
      <c r="I68">
        <f t="shared" ref="I68:I131" si="10">(H68-H67)/H67</f>
        <v>0.23511253426708756</v>
      </c>
      <c r="J68">
        <v>100.21</v>
      </c>
      <c r="K68">
        <f t="shared" ref="K68:K131" si="11">(J68-J67)/J67</f>
        <v>2.8216704288939055E-2</v>
      </c>
      <c r="L68">
        <v>32.875</v>
      </c>
      <c r="M68">
        <f t="shared" ref="M68:M131" si="12">(L68-L67)/L67</f>
        <v>0.2175024072290942</v>
      </c>
      <c r="N68">
        <v>41.08</v>
      </c>
      <c r="O68">
        <f t="shared" ref="O68:O131" si="13">(N68-N67)/N67</f>
        <v>4.7157787407596269E-2</v>
      </c>
      <c r="Q68">
        <v>-7.9562406762804638E-3</v>
      </c>
      <c r="R68">
        <v>5.7757644394111081E-2</v>
      </c>
      <c r="S68">
        <v>-3.2888180187362968E-2</v>
      </c>
      <c r="T68">
        <v>0.23511253426708756</v>
      </c>
      <c r="U68">
        <v>2.8216704288939055E-2</v>
      </c>
      <c r="V68">
        <v>0.2175024072290942</v>
      </c>
      <c r="W68">
        <v>4.7157787407596269E-2</v>
      </c>
    </row>
    <row r="69" spans="1:23" x14ac:dyDescent="0.2">
      <c r="A69" s="1">
        <v>42247</v>
      </c>
      <c r="B69">
        <v>0.56200000000000006</v>
      </c>
      <c r="C69">
        <f t="shared" si="7"/>
        <v>0.12681704260651633</v>
      </c>
      <c r="D69">
        <v>43.52</v>
      </c>
      <c r="E69">
        <f t="shared" si="8"/>
        <v>-6.8094218415417546E-2</v>
      </c>
      <c r="F69">
        <v>28.19</v>
      </c>
      <c r="G69">
        <f t="shared" si="9"/>
        <v>-7.04039571310799E-2</v>
      </c>
      <c r="H69">
        <v>25.644500000000001</v>
      </c>
      <c r="I69">
        <f t="shared" si="10"/>
        <v>-4.3383381516366698E-2</v>
      </c>
      <c r="J69">
        <v>93.98</v>
      </c>
      <c r="K69">
        <f t="shared" si="11"/>
        <v>-6.2169444167248678E-2</v>
      </c>
      <c r="L69">
        <v>32.390999999999998</v>
      </c>
      <c r="M69">
        <f t="shared" si="12"/>
        <v>-1.4722433460076099E-2</v>
      </c>
      <c r="N69">
        <v>39.32</v>
      </c>
      <c r="O69">
        <f t="shared" si="13"/>
        <v>-4.2843232716650394E-2</v>
      </c>
      <c r="Q69">
        <v>0.12681704260651633</v>
      </c>
      <c r="R69">
        <v>-6.8094218415417546E-2</v>
      </c>
      <c r="S69">
        <v>-7.04039571310799E-2</v>
      </c>
      <c r="T69">
        <v>-4.3383381516366698E-2</v>
      </c>
      <c r="U69">
        <v>-6.2169444167248678E-2</v>
      </c>
      <c r="V69">
        <v>-1.4722433460076099E-2</v>
      </c>
      <c r="W69">
        <v>-4.2843232716650394E-2</v>
      </c>
    </row>
    <row r="70" spans="1:23" x14ac:dyDescent="0.2">
      <c r="A70" s="1">
        <v>42277</v>
      </c>
      <c r="B70">
        <v>0.61624999999999996</v>
      </c>
      <c r="C70">
        <f t="shared" si="7"/>
        <v>9.6530249110320113E-2</v>
      </c>
      <c r="D70">
        <v>44.26</v>
      </c>
      <c r="E70">
        <f t="shared" si="8"/>
        <v>1.7003676470588116E-2</v>
      </c>
      <c r="F70">
        <v>27.574999999999999</v>
      </c>
      <c r="G70">
        <f t="shared" si="9"/>
        <v>-2.1816246896062503E-2</v>
      </c>
      <c r="H70">
        <v>25.5945</v>
      </c>
      <c r="I70">
        <f t="shared" si="10"/>
        <v>-1.9497358107976647E-3</v>
      </c>
      <c r="J70">
        <v>93.35</v>
      </c>
      <c r="K70">
        <f t="shared" si="11"/>
        <v>-6.7035539476485387E-3</v>
      </c>
      <c r="L70">
        <v>31.918500000000002</v>
      </c>
      <c r="M70">
        <f t="shared" si="12"/>
        <v>-1.4587385384829015E-2</v>
      </c>
      <c r="N70">
        <v>40.119999999999997</v>
      </c>
      <c r="O70">
        <f t="shared" si="13"/>
        <v>2.0345879959308168E-2</v>
      </c>
      <c r="Q70">
        <v>9.6530249110320113E-2</v>
      </c>
      <c r="R70">
        <v>1.7003676470588116E-2</v>
      </c>
      <c r="S70">
        <v>-2.1816246896062503E-2</v>
      </c>
      <c r="T70">
        <v>-1.9497358107976647E-3</v>
      </c>
      <c r="U70">
        <v>-6.7035539476485387E-3</v>
      </c>
      <c r="V70">
        <v>-1.4587385384829015E-2</v>
      </c>
      <c r="W70">
        <v>2.0345879959308168E-2</v>
      </c>
    </row>
    <row r="71" spans="1:23" x14ac:dyDescent="0.2">
      <c r="A71" s="1">
        <v>42307</v>
      </c>
      <c r="B71">
        <v>0.70925000000000005</v>
      </c>
      <c r="C71">
        <f t="shared" si="7"/>
        <v>0.15091277890466545</v>
      </c>
      <c r="D71">
        <v>52.64</v>
      </c>
      <c r="E71">
        <f t="shared" si="8"/>
        <v>0.18933574333483966</v>
      </c>
      <c r="F71">
        <v>29.875</v>
      </c>
      <c r="G71">
        <f t="shared" si="9"/>
        <v>8.3408884859474189E-2</v>
      </c>
      <c r="H71">
        <v>31.295000000000002</v>
      </c>
      <c r="I71">
        <f t="shared" si="10"/>
        <v>0.22272363203031909</v>
      </c>
      <c r="J71">
        <v>101.03</v>
      </c>
      <c r="K71">
        <f t="shared" si="11"/>
        <v>8.2271023031601581E-2</v>
      </c>
      <c r="L71">
        <v>36.869500000000002</v>
      </c>
      <c r="M71">
        <f t="shared" si="12"/>
        <v>0.15511380547331485</v>
      </c>
      <c r="N71">
        <v>42.35</v>
      </c>
      <c r="O71">
        <f t="shared" si="13"/>
        <v>5.5583250249252349E-2</v>
      </c>
      <c r="Q71">
        <v>0.15091277890466545</v>
      </c>
      <c r="R71">
        <v>0.18933574333483966</v>
      </c>
      <c r="S71">
        <v>8.3408884859474189E-2</v>
      </c>
      <c r="T71">
        <v>0.22272363203031909</v>
      </c>
      <c r="U71">
        <v>8.2271023031601581E-2</v>
      </c>
      <c r="V71">
        <v>0.15511380547331485</v>
      </c>
      <c r="W71">
        <v>5.5583250249252349E-2</v>
      </c>
    </row>
    <row r="72" spans="1:23" x14ac:dyDescent="0.2">
      <c r="A72" s="1">
        <v>42338</v>
      </c>
      <c r="B72">
        <v>0.79300000000000004</v>
      </c>
      <c r="C72">
        <f t="shared" si="7"/>
        <v>0.11808248149453646</v>
      </c>
      <c r="D72">
        <v>54.35</v>
      </c>
      <c r="E72">
        <f t="shared" si="8"/>
        <v>3.2484802431610955E-2</v>
      </c>
      <c r="F72">
        <v>29.574999999999999</v>
      </c>
      <c r="G72">
        <f t="shared" si="9"/>
        <v>-1.0041841004184125E-2</v>
      </c>
      <c r="H72">
        <v>33.24</v>
      </c>
      <c r="I72">
        <f t="shared" si="10"/>
        <v>6.2150503275283597E-2</v>
      </c>
      <c r="J72">
        <v>101.24</v>
      </c>
      <c r="K72">
        <f t="shared" si="11"/>
        <v>2.0785905176679575E-3</v>
      </c>
      <c r="L72">
        <v>38.142499999999998</v>
      </c>
      <c r="M72">
        <f t="shared" si="12"/>
        <v>3.4527183715537126E-2</v>
      </c>
      <c r="N72">
        <v>42.62</v>
      </c>
      <c r="O72">
        <f t="shared" si="13"/>
        <v>6.3754427390790083E-3</v>
      </c>
      <c r="Q72">
        <v>0.11808248149453646</v>
      </c>
      <c r="R72">
        <v>3.2484802431610955E-2</v>
      </c>
      <c r="S72">
        <v>-1.0041841004184125E-2</v>
      </c>
      <c r="T72">
        <v>6.2150503275283597E-2</v>
      </c>
      <c r="U72">
        <v>2.0785905176679575E-3</v>
      </c>
      <c r="V72">
        <v>3.4527183715537126E-2</v>
      </c>
      <c r="W72">
        <v>6.3754427390790083E-3</v>
      </c>
    </row>
    <row r="73" spans="1:23" x14ac:dyDescent="0.2">
      <c r="A73" s="1">
        <v>42369</v>
      </c>
      <c r="B73">
        <v>0.82399999999999995</v>
      </c>
      <c r="C73">
        <f t="shared" si="7"/>
        <v>3.9092055485498003E-2</v>
      </c>
      <c r="D73">
        <v>55.48</v>
      </c>
      <c r="E73">
        <f t="shared" si="8"/>
        <v>2.0791168353265783E-2</v>
      </c>
      <c r="F73">
        <v>26.315000000000001</v>
      </c>
      <c r="G73">
        <f t="shared" si="9"/>
        <v>-0.11022823330515631</v>
      </c>
      <c r="H73">
        <v>33.794499999999999</v>
      </c>
      <c r="I73">
        <f t="shared" si="10"/>
        <v>1.668170878459679E-2</v>
      </c>
      <c r="J73">
        <v>102.72</v>
      </c>
      <c r="K73">
        <f t="shared" si="11"/>
        <v>1.4618727775582813E-2</v>
      </c>
      <c r="L73">
        <v>38.900500000000001</v>
      </c>
      <c r="M73">
        <f t="shared" si="12"/>
        <v>1.9872845251360103E-2</v>
      </c>
      <c r="N73">
        <v>42.96</v>
      </c>
      <c r="O73">
        <f t="shared" si="13"/>
        <v>7.9774753636791037E-3</v>
      </c>
      <c r="Q73">
        <v>3.9092055485498003E-2</v>
      </c>
      <c r="R73">
        <v>2.0791168353265783E-2</v>
      </c>
      <c r="S73">
        <v>-0.11022823330515631</v>
      </c>
      <c r="T73">
        <v>1.668170878459679E-2</v>
      </c>
      <c r="U73">
        <v>1.4618727775582813E-2</v>
      </c>
      <c r="V73">
        <v>1.9872845251360103E-2</v>
      </c>
      <c r="W73">
        <v>7.9774753636791037E-3</v>
      </c>
    </row>
    <row r="74" spans="1:23" x14ac:dyDescent="0.2">
      <c r="A74" s="1">
        <v>42398</v>
      </c>
      <c r="B74">
        <v>0.73224999999999996</v>
      </c>
      <c r="C74">
        <f t="shared" si="7"/>
        <v>-0.11134708737864078</v>
      </c>
      <c r="D74">
        <v>55.09</v>
      </c>
      <c r="E74">
        <f t="shared" si="8"/>
        <v>-7.0295602018744319E-3</v>
      </c>
      <c r="F74">
        <v>24.335000000000001</v>
      </c>
      <c r="G74">
        <f t="shared" si="9"/>
        <v>-7.5242257267718049E-2</v>
      </c>
      <c r="H74">
        <v>29.35</v>
      </c>
      <c r="I74">
        <f t="shared" si="10"/>
        <v>-0.13151548328870077</v>
      </c>
      <c r="J74">
        <v>104.44</v>
      </c>
      <c r="K74">
        <f t="shared" si="11"/>
        <v>1.6744548286604349E-2</v>
      </c>
      <c r="L74">
        <v>38.067500000000003</v>
      </c>
      <c r="M74">
        <f t="shared" si="12"/>
        <v>-2.1413606508913725E-2</v>
      </c>
      <c r="N74">
        <v>42.92</v>
      </c>
      <c r="O74">
        <f t="shared" si="13"/>
        <v>-9.3109869646180511E-4</v>
      </c>
      <c r="Q74">
        <v>-0.11134708737864078</v>
      </c>
      <c r="R74">
        <v>-7.0295602018744319E-3</v>
      </c>
      <c r="S74">
        <v>-7.5242257267718049E-2</v>
      </c>
      <c r="T74">
        <v>-0.13151548328870077</v>
      </c>
      <c r="U74">
        <v>1.6744548286604349E-2</v>
      </c>
      <c r="V74">
        <v>-2.1413606508913725E-2</v>
      </c>
      <c r="W74">
        <v>-9.3109869646180511E-4</v>
      </c>
    </row>
    <row r="75" spans="1:23" x14ac:dyDescent="0.2">
      <c r="A75" s="1">
        <v>42429</v>
      </c>
      <c r="B75">
        <v>0.78400000000000003</v>
      </c>
      <c r="C75">
        <f t="shared" si="7"/>
        <v>7.0672584499829397E-2</v>
      </c>
      <c r="D75">
        <v>50.88</v>
      </c>
      <c r="E75">
        <f t="shared" si="8"/>
        <v>-7.6420402976946827E-2</v>
      </c>
      <c r="F75">
        <v>24.172499999999999</v>
      </c>
      <c r="G75">
        <f t="shared" si="9"/>
        <v>-6.6776248202178512E-3</v>
      </c>
      <c r="H75">
        <v>27.626000000000001</v>
      </c>
      <c r="I75">
        <f t="shared" si="10"/>
        <v>-5.8739352640545146E-2</v>
      </c>
      <c r="J75">
        <v>105.21</v>
      </c>
      <c r="K75">
        <f t="shared" si="11"/>
        <v>7.372654155495941E-3</v>
      </c>
      <c r="L75">
        <v>35.860999999999997</v>
      </c>
      <c r="M75">
        <f t="shared" si="12"/>
        <v>-5.7962829185000467E-2</v>
      </c>
      <c r="N75">
        <v>43.13</v>
      </c>
      <c r="O75">
        <f t="shared" si="13"/>
        <v>4.8928238583411197E-3</v>
      </c>
      <c r="Q75">
        <v>7.0672584499829397E-2</v>
      </c>
      <c r="R75">
        <v>-7.6420402976946827E-2</v>
      </c>
      <c r="S75">
        <v>-6.6776248202178512E-3</v>
      </c>
      <c r="T75">
        <v>-5.8739352640545146E-2</v>
      </c>
      <c r="U75">
        <v>7.372654155495941E-3</v>
      </c>
      <c r="V75">
        <v>-5.7962829185000467E-2</v>
      </c>
      <c r="W75">
        <v>4.8928238583411197E-3</v>
      </c>
    </row>
    <row r="76" spans="1:23" x14ac:dyDescent="0.2">
      <c r="A76" s="1">
        <v>42460</v>
      </c>
      <c r="B76">
        <v>0.89075000000000004</v>
      </c>
      <c r="C76">
        <f t="shared" si="7"/>
        <v>0.1361607142857143</v>
      </c>
      <c r="D76">
        <v>55.23</v>
      </c>
      <c r="E76">
        <f t="shared" si="8"/>
        <v>8.5495283018867815E-2</v>
      </c>
      <c r="F76">
        <v>27.247499999999999</v>
      </c>
      <c r="G76">
        <f t="shared" si="9"/>
        <v>0.12721067328575858</v>
      </c>
      <c r="H76">
        <v>29.681999999999999</v>
      </c>
      <c r="I76">
        <f t="shared" si="10"/>
        <v>7.4422645334105461E-2</v>
      </c>
      <c r="J76">
        <v>108.2</v>
      </c>
      <c r="K76">
        <f t="shared" si="11"/>
        <v>2.8419351772645273E-2</v>
      </c>
      <c r="L76">
        <v>38.145000000000003</v>
      </c>
      <c r="M76">
        <f t="shared" si="12"/>
        <v>6.3690360001115595E-2</v>
      </c>
      <c r="N76">
        <v>46.39</v>
      </c>
      <c r="O76">
        <f t="shared" si="13"/>
        <v>7.5585439369348431E-2</v>
      </c>
      <c r="Q76">
        <v>0.1361607142857143</v>
      </c>
      <c r="R76">
        <v>8.5495283018867815E-2</v>
      </c>
      <c r="S76">
        <v>0.12721067328575858</v>
      </c>
      <c r="T76">
        <v>7.4422645334105461E-2</v>
      </c>
      <c r="U76">
        <v>2.8419351772645273E-2</v>
      </c>
      <c r="V76">
        <v>6.3690360001115595E-2</v>
      </c>
      <c r="W76">
        <v>7.5585439369348431E-2</v>
      </c>
    </row>
    <row r="77" spans="1:23" x14ac:dyDescent="0.2">
      <c r="A77" s="1">
        <v>42489</v>
      </c>
      <c r="B77">
        <v>0.88824999999999998</v>
      </c>
      <c r="C77">
        <f t="shared" si="7"/>
        <v>-2.8066236317710442E-3</v>
      </c>
      <c r="D77">
        <v>49.87</v>
      </c>
      <c r="E77">
        <f t="shared" si="8"/>
        <v>-9.7048705413724415E-2</v>
      </c>
      <c r="F77">
        <v>23.434999999999999</v>
      </c>
      <c r="G77">
        <f t="shared" si="9"/>
        <v>-0.13992109367831912</v>
      </c>
      <c r="H77">
        <v>32.979500000000002</v>
      </c>
      <c r="I77">
        <f t="shared" si="10"/>
        <v>0.11109426588504828</v>
      </c>
      <c r="J77">
        <v>112.08</v>
      </c>
      <c r="K77">
        <f t="shared" si="11"/>
        <v>3.5859519408502731E-2</v>
      </c>
      <c r="L77">
        <v>35.393999999999998</v>
      </c>
      <c r="M77">
        <f t="shared" si="12"/>
        <v>-7.211954384585148E-2</v>
      </c>
      <c r="N77">
        <v>44.8</v>
      </c>
      <c r="O77">
        <f t="shared" si="13"/>
        <v>-3.4274628152619169E-2</v>
      </c>
      <c r="Q77">
        <v>-2.8066236317710442E-3</v>
      </c>
      <c r="R77">
        <v>-9.7048705413724415E-2</v>
      </c>
      <c r="S77">
        <v>-0.13992109367831912</v>
      </c>
      <c r="T77">
        <v>0.11109426588504828</v>
      </c>
      <c r="U77">
        <v>3.5859519408502731E-2</v>
      </c>
      <c r="V77">
        <v>-7.211954384585148E-2</v>
      </c>
      <c r="W77">
        <v>-3.4274628152619169E-2</v>
      </c>
    </row>
    <row r="78" spans="1:23" x14ac:dyDescent="0.2">
      <c r="A78" s="1">
        <v>42521</v>
      </c>
      <c r="B78">
        <v>1.1679999999999999</v>
      </c>
      <c r="C78">
        <f t="shared" si="7"/>
        <v>0.31494511680270187</v>
      </c>
      <c r="D78">
        <v>53</v>
      </c>
      <c r="E78">
        <f t="shared" si="8"/>
        <v>6.2763184279125778E-2</v>
      </c>
      <c r="F78">
        <v>24.965</v>
      </c>
      <c r="G78">
        <f t="shared" si="9"/>
        <v>6.5286963942820617E-2</v>
      </c>
      <c r="H78">
        <v>36.139499999999998</v>
      </c>
      <c r="I78">
        <f t="shared" si="10"/>
        <v>9.5817098500583592E-2</v>
      </c>
      <c r="J78">
        <v>112.69</v>
      </c>
      <c r="K78">
        <f t="shared" si="11"/>
        <v>5.442541042112772E-3</v>
      </c>
      <c r="L78">
        <v>37.442500000000003</v>
      </c>
      <c r="M78">
        <f t="shared" si="12"/>
        <v>5.7877041306436242E-2</v>
      </c>
      <c r="N78">
        <v>44.6</v>
      </c>
      <c r="O78">
        <f t="shared" si="13"/>
        <v>-4.4642857142856195E-3</v>
      </c>
      <c r="Q78">
        <v>0.31494511680270187</v>
      </c>
      <c r="R78">
        <v>6.2763184279125778E-2</v>
      </c>
      <c r="S78">
        <v>6.5286963942820617E-2</v>
      </c>
      <c r="T78">
        <v>9.5817098500583592E-2</v>
      </c>
      <c r="U78">
        <v>5.442541042112772E-3</v>
      </c>
      <c r="V78">
        <v>5.7877041306436242E-2</v>
      </c>
      <c r="W78">
        <v>-4.4642857142856195E-3</v>
      </c>
    </row>
    <row r="79" spans="1:23" x14ac:dyDescent="0.2">
      <c r="A79" s="1">
        <v>42551</v>
      </c>
      <c r="B79">
        <v>1.1752499999999999</v>
      </c>
      <c r="C79">
        <f t="shared" si="7"/>
        <v>6.2071917808219001E-3</v>
      </c>
      <c r="D79">
        <v>51.17</v>
      </c>
      <c r="E79">
        <f t="shared" si="8"/>
        <v>-3.4528301886792422E-2</v>
      </c>
      <c r="F79">
        <v>23.9</v>
      </c>
      <c r="G79">
        <f t="shared" si="9"/>
        <v>-4.265972361305833E-2</v>
      </c>
      <c r="H79">
        <v>35.780999999999999</v>
      </c>
      <c r="I79">
        <f t="shared" si="10"/>
        <v>-9.9198937450711653E-3</v>
      </c>
      <c r="J79">
        <v>121.3</v>
      </c>
      <c r="K79">
        <f t="shared" si="11"/>
        <v>7.6404294968497641E-2</v>
      </c>
      <c r="L79">
        <v>35.176499999999997</v>
      </c>
      <c r="M79">
        <f t="shared" si="12"/>
        <v>-6.051946317687134E-2</v>
      </c>
      <c r="N79">
        <v>45.33</v>
      </c>
      <c r="O79">
        <f t="shared" si="13"/>
        <v>1.6367713004484235E-2</v>
      </c>
      <c r="Q79">
        <v>6.2071917808219001E-3</v>
      </c>
      <c r="R79">
        <v>-3.4528301886792422E-2</v>
      </c>
      <c r="S79">
        <v>-4.265972361305833E-2</v>
      </c>
      <c r="T79">
        <v>-9.9198937450711653E-3</v>
      </c>
      <c r="U79">
        <v>7.6404294968497641E-2</v>
      </c>
      <c r="V79">
        <v>-6.051946317687134E-2</v>
      </c>
      <c r="W79">
        <v>1.6367713004484235E-2</v>
      </c>
    </row>
    <row r="80" spans="1:23" x14ac:dyDescent="0.2">
      <c r="A80" s="1">
        <v>42580</v>
      </c>
      <c r="B80">
        <v>1.4275</v>
      </c>
      <c r="C80">
        <f t="shared" si="7"/>
        <v>0.21463518400340362</v>
      </c>
      <c r="D80">
        <v>56.68</v>
      </c>
      <c r="E80">
        <f t="shared" si="8"/>
        <v>0.1076802814148915</v>
      </c>
      <c r="F80">
        <v>26.052499999999998</v>
      </c>
      <c r="G80">
        <f t="shared" si="9"/>
        <v>9.0062761506276151E-2</v>
      </c>
      <c r="H80">
        <v>37.9405</v>
      </c>
      <c r="I80">
        <f t="shared" si="10"/>
        <v>6.0353260110114347E-2</v>
      </c>
      <c r="J80">
        <v>125.23</v>
      </c>
      <c r="K80">
        <f t="shared" si="11"/>
        <v>3.2399010717230066E-2</v>
      </c>
      <c r="L80">
        <v>39.567</v>
      </c>
      <c r="M80">
        <f t="shared" si="12"/>
        <v>0.12481344079143757</v>
      </c>
      <c r="N80">
        <v>43.63</v>
      </c>
      <c r="O80">
        <f t="shared" si="13"/>
        <v>-3.750275755570253E-2</v>
      </c>
      <c r="Q80">
        <v>0.21463518400340362</v>
      </c>
      <c r="R80">
        <v>0.1076802814148915</v>
      </c>
      <c r="S80">
        <v>9.0062761506276151E-2</v>
      </c>
      <c r="T80">
        <v>6.0353260110114347E-2</v>
      </c>
      <c r="U80">
        <v>3.2399010717230066E-2</v>
      </c>
      <c r="V80">
        <v>0.12481344079143757</v>
      </c>
      <c r="W80">
        <v>-3.750275755570253E-2</v>
      </c>
    </row>
    <row r="81" spans="1:23" x14ac:dyDescent="0.2">
      <c r="A81" s="1">
        <v>42613</v>
      </c>
      <c r="B81">
        <v>1.5335000000000001</v>
      </c>
      <c r="C81">
        <f t="shared" si="7"/>
        <v>7.4255691768826682E-2</v>
      </c>
      <c r="D81">
        <v>57.46</v>
      </c>
      <c r="E81">
        <f t="shared" si="8"/>
        <v>1.3761467889908277E-2</v>
      </c>
      <c r="F81">
        <v>26.524999999999999</v>
      </c>
      <c r="G81">
        <f t="shared" si="9"/>
        <v>1.8136455234622404E-2</v>
      </c>
      <c r="H81">
        <v>38.457999999999998</v>
      </c>
      <c r="I81">
        <f t="shared" si="10"/>
        <v>1.3639778073562507E-2</v>
      </c>
      <c r="J81">
        <v>119.34</v>
      </c>
      <c r="K81">
        <f t="shared" si="11"/>
        <v>-4.7033458436476883E-2</v>
      </c>
      <c r="L81">
        <v>39.4925</v>
      </c>
      <c r="M81">
        <f t="shared" si="12"/>
        <v>-1.8828821998129869E-3</v>
      </c>
      <c r="N81">
        <v>43.43</v>
      </c>
      <c r="O81">
        <f t="shared" si="13"/>
        <v>-4.5840018336007985E-3</v>
      </c>
      <c r="Q81">
        <v>7.4255691768826682E-2</v>
      </c>
      <c r="R81">
        <v>1.3761467889908277E-2</v>
      </c>
      <c r="S81">
        <v>1.8136455234622404E-2</v>
      </c>
      <c r="T81">
        <v>1.3639778073562507E-2</v>
      </c>
      <c r="U81">
        <v>-4.7033458436476883E-2</v>
      </c>
      <c r="V81">
        <v>-1.8828821998129869E-3</v>
      </c>
      <c r="W81">
        <v>-4.5840018336007985E-3</v>
      </c>
    </row>
    <row r="82" spans="1:23" x14ac:dyDescent="0.2">
      <c r="A82" s="1">
        <v>42643</v>
      </c>
      <c r="B82">
        <v>1.7130000000000001</v>
      </c>
      <c r="C82">
        <f t="shared" si="7"/>
        <v>0.11705249429409846</v>
      </c>
      <c r="D82">
        <v>57.6</v>
      </c>
      <c r="E82">
        <f t="shared" si="8"/>
        <v>2.4364775495997314E-3</v>
      </c>
      <c r="F82">
        <v>28.262499999999999</v>
      </c>
      <c r="G82">
        <f t="shared" si="9"/>
        <v>6.550424128180965E-2</v>
      </c>
      <c r="H82">
        <v>41.865499999999997</v>
      </c>
      <c r="I82">
        <f t="shared" si="10"/>
        <v>8.8603151489937054E-2</v>
      </c>
      <c r="J82">
        <v>118.13</v>
      </c>
      <c r="K82">
        <f t="shared" si="11"/>
        <v>-1.0139098374392558E-2</v>
      </c>
      <c r="L82">
        <v>40.203000000000003</v>
      </c>
      <c r="M82">
        <f t="shared" si="12"/>
        <v>1.7990757738811248E-2</v>
      </c>
      <c r="N82">
        <v>42.32</v>
      </c>
      <c r="O82">
        <f t="shared" si="13"/>
        <v>-2.5558369790467404E-2</v>
      </c>
      <c r="Q82">
        <v>0.11705249429409846</v>
      </c>
      <c r="R82">
        <v>2.4364775495997314E-3</v>
      </c>
      <c r="S82">
        <v>6.550424128180965E-2</v>
      </c>
      <c r="T82">
        <v>8.8603151489937054E-2</v>
      </c>
      <c r="U82">
        <v>-1.0139098374392558E-2</v>
      </c>
      <c r="V82">
        <v>1.7990757738811248E-2</v>
      </c>
      <c r="W82">
        <v>-2.5558369790467404E-2</v>
      </c>
    </row>
    <row r="83" spans="1:23" x14ac:dyDescent="0.2">
      <c r="A83" s="1">
        <v>42674</v>
      </c>
      <c r="B83">
        <v>1.7789999999999999</v>
      </c>
      <c r="C83">
        <f t="shared" si="7"/>
        <v>3.8528896672504281E-2</v>
      </c>
      <c r="D83">
        <v>59.92</v>
      </c>
      <c r="E83">
        <f t="shared" si="8"/>
        <v>4.027777777777778E-2</v>
      </c>
      <c r="F83">
        <v>28.385000000000002</v>
      </c>
      <c r="G83">
        <f t="shared" si="9"/>
        <v>4.3343653250774803E-3</v>
      </c>
      <c r="H83">
        <v>39.491</v>
      </c>
      <c r="I83">
        <f t="shared" si="10"/>
        <v>-5.6717344830468946E-2</v>
      </c>
      <c r="J83">
        <v>115.99</v>
      </c>
      <c r="K83">
        <f t="shared" si="11"/>
        <v>-1.8115635317023624E-2</v>
      </c>
      <c r="L83">
        <v>40.494999999999997</v>
      </c>
      <c r="M83">
        <f t="shared" si="12"/>
        <v>7.263139566698865E-3</v>
      </c>
      <c r="N83">
        <v>42.4</v>
      </c>
      <c r="O83">
        <f t="shared" si="13"/>
        <v>1.8903591682419257E-3</v>
      </c>
      <c r="Q83">
        <v>3.8528896672504281E-2</v>
      </c>
      <c r="R83">
        <v>4.027777777777778E-2</v>
      </c>
      <c r="S83">
        <v>4.3343653250774803E-3</v>
      </c>
      <c r="T83">
        <v>-5.6717344830468946E-2</v>
      </c>
      <c r="U83">
        <v>-1.8115635317023624E-2</v>
      </c>
      <c r="V83">
        <v>7.263139566698865E-3</v>
      </c>
      <c r="W83">
        <v>1.8903591682419257E-3</v>
      </c>
    </row>
    <row r="84" spans="1:23" x14ac:dyDescent="0.2">
      <c r="A84" s="1">
        <v>42704</v>
      </c>
      <c r="B84">
        <v>2.3050000000000002</v>
      </c>
      <c r="C84">
        <f t="shared" si="7"/>
        <v>0.29567172568858924</v>
      </c>
      <c r="D84">
        <v>60.26</v>
      </c>
      <c r="E84">
        <f t="shared" si="8"/>
        <v>5.6742323097462664E-3</v>
      </c>
      <c r="F84">
        <v>27.63</v>
      </c>
      <c r="G84">
        <f t="shared" si="9"/>
        <v>-2.6598555575127796E-2</v>
      </c>
      <c r="H84">
        <v>37.528500000000001</v>
      </c>
      <c r="I84">
        <f t="shared" si="10"/>
        <v>-4.9694867184928174E-2</v>
      </c>
      <c r="J84">
        <v>111.3</v>
      </c>
      <c r="K84">
        <f t="shared" si="11"/>
        <v>-4.0434520217260093E-2</v>
      </c>
      <c r="L84">
        <v>38.793999999999997</v>
      </c>
      <c r="M84">
        <f t="shared" si="12"/>
        <v>-4.200518582541056E-2</v>
      </c>
      <c r="N84">
        <v>40.35</v>
      </c>
      <c r="O84">
        <f t="shared" si="13"/>
        <v>-4.8349056603773519E-2</v>
      </c>
      <c r="Q84">
        <v>0.29567172568858924</v>
      </c>
      <c r="R84">
        <v>5.6742323097462664E-3</v>
      </c>
      <c r="S84">
        <v>-2.6598555575127796E-2</v>
      </c>
      <c r="T84">
        <v>-4.9694867184928174E-2</v>
      </c>
      <c r="U84">
        <v>-4.0434520217260093E-2</v>
      </c>
      <c r="V84">
        <v>-4.200518582541056E-2</v>
      </c>
      <c r="W84">
        <v>-4.8349056603773519E-2</v>
      </c>
    </row>
    <row r="85" spans="1:23" x14ac:dyDescent="0.2">
      <c r="A85" s="1">
        <v>42734</v>
      </c>
      <c r="B85">
        <v>2.6684999999999999</v>
      </c>
      <c r="C85">
        <f t="shared" si="7"/>
        <v>0.15770065075921896</v>
      </c>
      <c r="D85">
        <v>62.14</v>
      </c>
      <c r="E85">
        <f t="shared" si="8"/>
        <v>3.1198141387321649E-2</v>
      </c>
      <c r="F85">
        <v>28.954999999999998</v>
      </c>
      <c r="G85">
        <f t="shared" si="9"/>
        <v>4.7955121245023498E-2</v>
      </c>
      <c r="H85">
        <v>37.493499999999997</v>
      </c>
      <c r="I85">
        <f t="shared" si="10"/>
        <v>-9.3262453868403201E-4</v>
      </c>
      <c r="J85">
        <v>115.21</v>
      </c>
      <c r="K85">
        <f t="shared" si="11"/>
        <v>3.513027852650491E-2</v>
      </c>
      <c r="L85">
        <v>39.622500000000002</v>
      </c>
      <c r="M85">
        <f t="shared" si="12"/>
        <v>2.135639531886388E-2</v>
      </c>
      <c r="N85">
        <v>41.46</v>
      </c>
      <c r="O85">
        <f t="shared" si="13"/>
        <v>2.7509293680297382E-2</v>
      </c>
      <c r="Q85">
        <v>0.15770065075921896</v>
      </c>
      <c r="R85">
        <v>3.1198141387321649E-2</v>
      </c>
      <c r="S85">
        <v>4.7955121245023498E-2</v>
      </c>
      <c r="T85">
        <v>-9.3262453868403201E-4</v>
      </c>
      <c r="U85">
        <v>3.513027852650491E-2</v>
      </c>
      <c r="V85">
        <v>2.135639531886388E-2</v>
      </c>
      <c r="W85">
        <v>2.7509293680297382E-2</v>
      </c>
    </row>
    <row r="86" spans="1:23" x14ac:dyDescent="0.2">
      <c r="A86" s="1">
        <v>42766</v>
      </c>
      <c r="B86">
        <v>2.7294999999999998</v>
      </c>
      <c r="C86">
        <f t="shared" si="7"/>
        <v>2.2859284242083548E-2</v>
      </c>
      <c r="D86">
        <v>64.650000000000006</v>
      </c>
      <c r="E86">
        <f t="shared" si="8"/>
        <v>4.0392661731573951E-2</v>
      </c>
      <c r="F86">
        <v>30.337499999999999</v>
      </c>
      <c r="G86">
        <f t="shared" si="9"/>
        <v>4.7746503194612343E-2</v>
      </c>
      <c r="H86">
        <v>41.173999999999999</v>
      </c>
      <c r="I86">
        <f t="shared" si="10"/>
        <v>9.8163681704828906E-2</v>
      </c>
      <c r="J86">
        <v>113.25</v>
      </c>
      <c r="K86">
        <f t="shared" si="11"/>
        <v>-1.7012412117003679E-2</v>
      </c>
      <c r="L86">
        <v>41.009500000000003</v>
      </c>
      <c r="M86">
        <f t="shared" si="12"/>
        <v>3.5005363114392084E-2</v>
      </c>
      <c r="N86">
        <v>41.57</v>
      </c>
      <c r="O86">
        <f t="shared" si="13"/>
        <v>2.653159671972972E-3</v>
      </c>
      <c r="Q86">
        <v>2.2859284242083548E-2</v>
      </c>
      <c r="R86">
        <v>4.0392661731573951E-2</v>
      </c>
      <c r="S86">
        <v>4.7746503194612343E-2</v>
      </c>
      <c r="T86">
        <v>9.8163681704828906E-2</v>
      </c>
      <c r="U86">
        <v>-1.7012412117003679E-2</v>
      </c>
      <c r="V86">
        <v>3.5005363114392084E-2</v>
      </c>
      <c r="W86">
        <v>2.653159671972972E-3</v>
      </c>
    </row>
    <row r="87" spans="1:23" x14ac:dyDescent="0.2">
      <c r="A87" s="1">
        <v>42794</v>
      </c>
      <c r="B87">
        <v>2.5369999999999999</v>
      </c>
      <c r="C87">
        <f t="shared" si="7"/>
        <v>-7.0525737314526438E-2</v>
      </c>
      <c r="D87">
        <v>63.98</v>
      </c>
      <c r="E87">
        <f t="shared" si="8"/>
        <v>-1.0363495746326508E-2</v>
      </c>
      <c r="F87">
        <v>34.247500000000002</v>
      </c>
      <c r="G87">
        <f t="shared" si="9"/>
        <v>0.12888339513803063</v>
      </c>
      <c r="H87">
        <v>42.252000000000002</v>
      </c>
      <c r="I87">
        <f t="shared" si="10"/>
        <v>2.6181570894253728E-2</v>
      </c>
      <c r="J87">
        <v>122.21</v>
      </c>
      <c r="K87">
        <f t="shared" si="11"/>
        <v>7.9116997792494426E-2</v>
      </c>
      <c r="L87">
        <v>42.246499999999997</v>
      </c>
      <c r="M87">
        <f t="shared" si="12"/>
        <v>3.0163742547458385E-2</v>
      </c>
      <c r="N87">
        <v>41.96</v>
      </c>
      <c r="O87">
        <f t="shared" si="13"/>
        <v>9.3817656964156979E-3</v>
      </c>
      <c r="Q87">
        <v>-7.0525737314526438E-2</v>
      </c>
      <c r="R87">
        <v>-1.0363495746326508E-2</v>
      </c>
      <c r="S87">
        <v>0.12888339513803063</v>
      </c>
      <c r="T87">
        <v>2.6181570894253728E-2</v>
      </c>
      <c r="U87">
        <v>7.9116997792494426E-2</v>
      </c>
      <c r="V87">
        <v>3.0163742547458385E-2</v>
      </c>
      <c r="W87">
        <v>9.3817656964156979E-3</v>
      </c>
    </row>
    <row r="88" spans="1:23" x14ac:dyDescent="0.2">
      <c r="A88" s="1">
        <v>42825</v>
      </c>
      <c r="B88">
        <v>2.7232500000000002</v>
      </c>
      <c r="C88">
        <f t="shared" si="7"/>
        <v>7.3413480488766364E-2</v>
      </c>
      <c r="D88">
        <v>65.86</v>
      </c>
      <c r="E88">
        <f t="shared" si="8"/>
        <v>2.938418255704912E-2</v>
      </c>
      <c r="F88">
        <v>35.914999999999999</v>
      </c>
      <c r="G88">
        <f t="shared" si="9"/>
        <v>4.8689685378494683E-2</v>
      </c>
      <c r="H88">
        <v>44.326999999999998</v>
      </c>
      <c r="I88">
        <f t="shared" si="10"/>
        <v>4.9110101296979923E-2</v>
      </c>
      <c r="J88">
        <v>124.55</v>
      </c>
      <c r="K88">
        <f t="shared" si="11"/>
        <v>1.9147369282382812E-2</v>
      </c>
      <c r="L88">
        <v>42.39</v>
      </c>
      <c r="M88">
        <f t="shared" si="12"/>
        <v>3.3967310901495528E-3</v>
      </c>
      <c r="N88">
        <v>42.44</v>
      </c>
      <c r="O88">
        <f t="shared" si="13"/>
        <v>1.1439466158245874E-2</v>
      </c>
      <c r="Q88">
        <v>7.3413480488766364E-2</v>
      </c>
      <c r="R88">
        <v>2.938418255704912E-2</v>
      </c>
      <c r="S88">
        <v>4.8689685378494683E-2</v>
      </c>
      <c r="T88">
        <v>4.9110101296979923E-2</v>
      </c>
      <c r="U88">
        <v>1.9147369282382812E-2</v>
      </c>
      <c r="V88">
        <v>3.3967310901495528E-3</v>
      </c>
      <c r="W88">
        <v>1.1439466158245874E-2</v>
      </c>
    </row>
    <row r="89" spans="1:23" x14ac:dyDescent="0.2">
      <c r="A89" s="1">
        <v>42853</v>
      </c>
      <c r="B89">
        <v>2.6074999999999999</v>
      </c>
      <c r="C89">
        <f t="shared" si="7"/>
        <v>-4.2504360598549611E-2</v>
      </c>
      <c r="D89">
        <v>68.459999999999994</v>
      </c>
      <c r="E89">
        <f t="shared" si="8"/>
        <v>3.9477679927118044E-2</v>
      </c>
      <c r="F89">
        <v>35.912500000000001</v>
      </c>
      <c r="G89">
        <f t="shared" si="9"/>
        <v>-6.9608798552073684E-5</v>
      </c>
      <c r="H89">
        <v>46.249499999999998</v>
      </c>
      <c r="I89">
        <f t="shared" si="10"/>
        <v>4.3370857490919741E-2</v>
      </c>
      <c r="J89">
        <v>123.47</v>
      </c>
      <c r="K89">
        <f t="shared" si="11"/>
        <v>-8.6712163789642582E-3</v>
      </c>
      <c r="L89">
        <v>46.225999999999999</v>
      </c>
      <c r="M89">
        <f t="shared" si="12"/>
        <v>9.0493040811512118E-2</v>
      </c>
      <c r="N89">
        <v>43.15</v>
      </c>
      <c r="O89">
        <f t="shared" si="13"/>
        <v>1.6729500471253555E-2</v>
      </c>
      <c r="Q89">
        <v>-4.2504360598549611E-2</v>
      </c>
      <c r="R89">
        <v>3.9477679927118044E-2</v>
      </c>
      <c r="S89">
        <v>-6.9608798552073684E-5</v>
      </c>
      <c r="T89">
        <v>4.3370857490919741E-2</v>
      </c>
      <c r="U89">
        <v>-8.6712163789642582E-3</v>
      </c>
      <c r="V89">
        <v>9.0493040811512118E-2</v>
      </c>
      <c r="W89">
        <v>1.6729500471253555E-2</v>
      </c>
    </row>
    <row r="90" spans="1:23" x14ac:dyDescent="0.2">
      <c r="A90" s="1">
        <v>42886</v>
      </c>
      <c r="B90">
        <v>3.6087500000000001</v>
      </c>
      <c r="C90">
        <f t="shared" si="7"/>
        <v>0.38398849472674984</v>
      </c>
      <c r="D90">
        <v>69.84</v>
      </c>
      <c r="E90">
        <f t="shared" si="8"/>
        <v>2.0157756354075514E-2</v>
      </c>
      <c r="F90">
        <v>38.19</v>
      </c>
      <c r="G90">
        <f t="shared" si="9"/>
        <v>6.3418029933866929E-2</v>
      </c>
      <c r="H90">
        <v>49.731000000000002</v>
      </c>
      <c r="I90">
        <f t="shared" si="10"/>
        <v>7.5276489475561995E-2</v>
      </c>
      <c r="J90">
        <v>128.25</v>
      </c>
      <c r="K90">
        <f t="shared" si="11"/>
        <v>3.8713857617234969E-2</v>
      </c>
      <c r="L90">
        <v>49.354500000000002</v>
      </c>
      <c r="M90">
        <f t="shared" si="12"/>
        <v>6.7678362826115224E-2</v>
      </c>
      <c r="N90">
        <v>45.47</v>
      </c>
      <c r="O90">
        <f t="shared" si="13"/>
        <v>5.3765932792584015E-2</v>
      </c>
      <c r="Q90">
        <v>0.38398849472674984</v>
      </c>
      <c r="R90">
        <v>2.0157756354075514E-2</v>
      </c>
      <c r="S90">
        <v>6.3418029933866929E-2</v>
      </c>
      <c r="T90">
        <v>7.5276489475561995E-2</v>
      </c>
      <c r="U90">
        <v>3.8713857617234969E-2</v>
      </c>
      <c r="V90">
        <v>6.7678362826115224E-2</v>
      </c>
      <c r="W90">
        <v>5.3765932792584015E-2</v>
      </c>
    </row>
    <row r="91" spans="1:23" x14ac:dyDescent="0.2">
      <c r="A91" s="1">
        <v>42916</v>
      </c>
      <c r="B91">
        <v>3.6139999999999999</v>
      </c>
      <c r="C91">
        <f t="shared" si="7"/>
        <v>1.4547973675094574E-3</v>
      </c>
      <c r="D91">
        <v>68.930000000000007</v>
      </c>
      <c r="E91">
        <f t="shared" si="8"/>
        <v>-1.3029782359679217E-2</v>
      </c>
      <c r="F91">
        <v>36.005000000000003</v>
      </c>
      <c r="G91">
        <f t="shared" si="9"/>
        <v>-5.7213930348258585E-2</v>
      </c>
      <c r="H91">
        <v>48.4</v>
      </c>
      <c r="I91">
        <f t="shared" si="10"/>
        <v>-2.6763990267639964E-2</v>
      </c>
      <c r="J91">
        <v>132.29</v>
      </c>
      <c r="K91">
        <f t="shared" si="11"/>
        <v>3.1500974658869335E-2</v>
      </c>
      <c r="L91">
        <v>46.484000000000002</v>
      </c>
      <c r="M91">
        <f t="shared" si="12"/>
        <v>-5.8160856659473799E-2</v>
      </c>
      <c r="N91">
        <v>44.85</v>
      </c>
      <c r="O91">
        <f t="shared" si="13"/>
        <v>-1.3635363976248019E-2</v>
      </c>
      <c r="Q91">
        <v>1.4547973675094574E-3</v>
      </c>
      <c r="R91">
        <v>-1.3029782359679217E-2</v>
      </c>
      <c r="S91">
        <v>-5.7213930348258585E-2</v>
      </c>
      <c r="T91">
        <v>-2.6763990267639964E-2</v>
      </c>
      <c r="U91">
        <v>3.1500974658869335E-2</v>
      </c>
      <c r="V91">
        <v>-5.8160856659473799E-2</v>
      </c>
      <c r="W91">
        <v>-1.3635363976248019E-2</v>
      </c>
    </row>
    <row r="92" spans="1:23" x14ac:dyDescent="0.2">
      <c r="A92" s="1">
        <v>42947</v>
      </c>
      <c r="B92">
        <v>4.0627500000000003</v>
      </c>
      <c r="C92">
        <f t="shared" si="7"/>
        <v>0.12416989485334821</v>
      </c>
      <c r="D92">
        <v>72.7</v>
      </c>
      <c r="E92">
        <f t="shared" si="8"/>
        <v>5.4693166980995148E-2</v>
      </c>
      <c r="F92">
        <v>37.182499999999997</v>
      </c>
      <c r="G92">
        <f t="shared" si="9"/>
        <v>3.270379114011928E-2</v>
      </c>
      <c r="H92">
        <v>49.389000000000003</v>
      </c>
      <c r="I92">
        <f t="shared" si="10"/>
        <v>2.043388429752075E-2</v>
      </c>
      <c r="J92">
        <v>132.72</v>
      </c>
      <c r="K92">
        <f t="shared" si="11"/>
        <v>3.2504346511452631E-3</v>
      </c>
      <c r="L92">
        <v>47.274999999999999</v>
      </c>
      <c r="M92">
        <f t="shared" si="12"/>
        <v>1.7016607865071785E-2</v>
      </c>
      <c r="N92">
        <v>45.84</v>
      </c>
      <c r="O92">
        <f t="shared" si="13"/>
        <v>2.2073578595317771E-2</v>
      </c>
      <c r="Q92">
        <v>0.12416989485334821</v>
      </c>
      <c r="R92">
        <v>5.4693166980995148E-2</v>
      </c>
      <c r="S92">
        <v>3.270379114011928E-2</v>
      </c>
      <c r="T92">
        <v>2.043388429752075E-2</v>
      </c>
      <c r="U92">
        <v>3.2504346511452631E-3</v>
      </c>
      <c r="V92">
        <v>1.7016607865071785E-2</v>
      </c>
      <c r="W92">
        <v>2.2073578595317771E-2</v>
      </c>
    </row>
    <row r="93" spans="1:23" x14ac:dyDescent="0.2">
      <c r="A93" s="1">
        <v>42978</v>
      </c>
      <c r="B93">
        <v>4.2359999999999998</v>
      </c>
      <c r="C93">
        <f t="shared" si="7"/>
        <v>4.2643529628945777E-2</v>
      </c>
      <c r="D93">
        <v>74.77</v>
      </c>
      <c r="E93">
        <f t="shared" si="8"/>
        <v>2.8473177441540484E-2</v>
      </c>
      <c r="F93">
        <v>41</v>
      </c>
      <c r="G93">
        <f t="shared" si="9"/>
        <v>0.10266926645599415</v>
      </c>
      <c r="H93">
        <v>49.03</v>
      </c>
      <c r="I93">
        <f t="shared" si="10"/>
        <v>-7.2688250420134392E-3</v>
      </c>
      <c r="J93">
        <v>132.37</v>
      </c>
      <c r="K93">
        <f t="shared" si="11"/>
        <v>-2.6371308016877211E-3</v>
      </c>
      <c r="L93">
        <v>47.762</v>
      </c>
      <c r="M93">
        <f t="shared" si="12"/>
        <v>1.0301427815970427E-2</v>
      </c>
      <c r="N93">
        <v>45.55</v>
      </c>
      <c r="O93">
        <f t="shared" si="13"/>
        <v>-6.3263525305411478E-3</v>
      </c>
      <c r="Q93">
        <v>4.2643529628945777E-2</v>
      </c>
      <c r="R93">
        <v>2.8473177441540484E-2</v>
      </c>
      <c r="S93">
        <v>0.10266926645599415</v>
      </c>
      <c r="T93">
        <v>-7.2688250420134392E-3</v>
      </c>
      <c r="U93">
        <v>-2.6371308016877211E-3</v>
      </c>
      <c r="V93">
        <v>1.0301427815970427E-2</v>
      </c>
      <c r="W93">
        <v>-6.3263525305411478E-3</v>
      </c>
    </row>
    <row r="94" spans="1:23" x14ac:dyDescent="0.2">
      <c r="A94" s="1">
        <v>43007</v>
      </c>
      <c r="B94">
        <v>4.4692499999999997</v>
      </c>
      <c r="C94">
        <f t="shared" si="7"/>
        <v>5.5063739376770532E-2</v>
      </c>
      <c r="D94">
        <v>74.489999999999995</v>
      </c>
      <c r="E94">
        <f t="shared" si="8"/>
        <v>-3.7448174401498082E-3</v>
      </c>
      <c r="F94">
        <v>38.53</v>
      </c>
      <c r="G94">
        <f t="shared" si="9"/>
        <v>-6.024390243902436E-2</v>
      </c>
      <c r="H94">
        <v>48.067500000000003</v>
      </c>
      <c r="I94">
        <f t="shared" si="10"/>
        <v>-1.9630838262288366E-2</v>
      </c>
      <c r="J94">
        <v>130.01</v>
      </c>
      <c r="K94">
        <f t="shared" si="11"/>
        <v>-1.7828813175190857E-2</v>
      </c>
      <c r="L94">
        <v>48.686</v>
      </c>
      <c r="M94">
        <f t="shared" si="12"/>
        <v>1.9345923537540295E-2</v>
      </c>
      <c r="N94">
        <v>45.01</v>
      </c>
      <c r="O94">
        <f t="shared" si="13"/>
        <v>-1.1855104281009861E-2</v>
      </c>
      <c r="Q94">
        <v>5.5063739376770532E-2</v>
      </c>
      <c r="R94">
        <v>-3.7448174401498082E-3</v>
      </c>
      <c r="S94">
        <v>-6.024390243902436E-2</v>
      </c>
      <c r="T94">
        <v>-1.9630838262288366E-2</v>
      </c>
      <c r="U94">
        <v>-1.7828813175190857E-2</v>
      </c>
      <c r="V94">
        <v>1.9345923537540295E-2</v>
      </c>
      <c r="W94">
        <v>-1.1855104281009861E-2</v>
      </c>
    </row>
    <row r="95" spans="1:23" x14ac:dyDescent="0.2">
      <c r="A95" s="1">
        <v>43039</v>
      </c>
      <c r="B95">
        <v>5.1702500000000002</v>
      </c>
      <c r="C95">
        <f t="shared" si="7"/>
        <v>0.15684958326341122</v>
      </c>
      <c r="D95">
        <v>83.18</v>
      </c>
      <c r="E95">
        <f t="shared" si="8"/>
        <v>0.11665995435628961</v>
      </c>
      <c r="F95">
        <v>42.26</v>
      </c>
      <c r="G95">
        <f t="shared" si="9"/>
        <v>9.6807682325460595E-2</v>
      </c>
      <c r="H95">
        <v>55.264000000000003</v>
      </c>
      <c r="I95">
        <f t="shared" si="10"/>
        <v>0.14971654444271076</v>
      </c>
      <c r="J95">
        <v>139.41</v>
      </c>
      <c r="K95">
        <f t="shared" si="11"/>
        <v>7.2302130605338105E-2</v>
      </c>
      <c r="L95">
        <v>51.652000000000001</v>
      </c>
      <c r="M95">
        <f t="shared" si="12"/>
        <v>6.0921003984718419E-2</v>
      </c>
      <c r="N95">
        <v>45.98</v>
      </c>
      <c r="O95">
        <f t="shared" si="13"/>
        <v>2.1550766496334122E-2</v>
      </c>
      <c r="Q95">
        <v>0.15684958326341122</v>
      </c>
      <c r="R95">
        <v>0.11665995435628961</v>
      </c>
      <c r="S95">
        <v>9.6807682325460595E-2</v>
      </c>
      <c r="T95">
        <v>0.14971654444271076</v>
      </c>
      <c r="U95">
        <v>7.2302130605338105E-2</v>
      </c>
      <c r="V95">
        <v>6.0921003984718419E-2</v>
      </c>
      <c r="W95">
        <v>2.1550766496334122E-2</v>
      </c>
    </row>
    <row r="96" spans="1:23" x14ac:dyDescent="0.2">
      <c r="A96" s="1">
        <v>43069</v>
      </c>
      <c r="B96">
        <v>5.0177500000000004</v>
      </c>
      <c r="C96">
        <f t="shared" si="7"/>
        <v>-2.9495672356269011E-2</v>
      </c>
      <c r="D96">
        <v>84.17</v>
      </c>
      <c r="E96">
        <f t="shared" si="8"/>
        <v>1.1901899495070868E-2</v>
      </c>
      <c r="F96">
        <v>42.962499999999999</v>
      </c>
      <c r="G96">
        <f t="shared" si="9"/>
        <v>1.6623284429720789E-2</v>
      </c>
      <c r="H96">
        <v>58.837499999999999</v>
      </c>
      <c r="I96">
        <f t="shared" si="10"/>
        <v>6.4662348002316072E-2</v>
      </c>
      <c r="J96">
        <v>139.33000000000001</v>
      </c>
      <c r="K96">
        <f t="shared" si="11"/>
        <v>-5.7384692633228663E-4</v>
      </c>
      <c r="L96">
        <v>51.808500000000002</v>
      </c>
      <c r="M96">
        <f t="shared" si="12"/>
        <v>3.029892356539944E-3</v>
      </c>
      <c r="N96">
        <v>45.77</v>
      </c>
      <c r="O96">
        <f t="shared" si="13"/>
        <v>-4.5672031317962975E-3</v>
      </c>
      <c r="Q96">
        <v>-2.9495672356269011E-2</v>
      </c>
      <c r="R96">
        <v>1.1901899495070868E-2</v>
      </c>
      <c r="S96">
        <v>1.6623284429720789E-2</v>
      </c>
      <c r="T96">
        <v>6.4662348002316072E-2</v>
      </c>
      <c r="U96">
        <v>-5.7384692633228663E-4</v>
      </c>
      <c r="V96">
        <v>3.029892356539944E-3</v>
      </c>
      <c r="W96">
        <v>-4.5672031317962975E-3</v>
      </c>
    </row>
    <row r="97" spans="1:23" x14ac:dyDescent="0.2">
      <c r="A97" s="1">
        <v>43098</v>
      </c>
      <c r="B97">
        <v>4.8375000000000004</v>
      </c>
      <c r="C97">
        <f t="shared" si="7"/>
        <v>-3.5922475212993875E-2</v>
      </c>
      <c r="D97">
        <v>85.54</v>
      </c>
      <c r="E97">
        <f t="shared" si="8"/>
        <v>1.6276583105619632E-2</v>
      </c>
      <c r="F97">
        <v>42.307499999999997</v>
      </c>
      <c r="G97">
        <f t="shared" si="9"/>
        <v>-1.5245853942391648E-2</v>
      </c>
      <c r="H97">
        <v>58.473500000000001</v>
      </c>
      <c r="I97">
        <f t="shared" si="10"/>
        <v>-6.1865306989589497E-3</v>
      </c>
      <c r="J97">
        <v>139.72</v>
      </c>
      <c r="K97">
        <f t="shared" si="11"/>
        <v>2.7991100265555612E-3</v>
      </c>
      <c r="L97">
        <v>52.67</v>
      </c>
      <c r="M97">
        <f t="shared" si="12"/>
        <v>1.6628545508941571E-2</v>
      </c>
      <c r="N97">
        <v>45.88</v>
      </c>
      <c r="O97">
        <f t="shared" si="13"/>
        <v>2.4033209525890194E-3</v>
      </c>
      <c r="Q97">
        <v>-3.5922475212993875E-2</v>
      </c>
      <c r="R97">
        <v>1.6276583105619632E-2</v>
      </c>
      <c r="S97">
        <v>-1.5245853942391648E-2</v>
      </c>
      <c r="T97">
        <v>-6.1865306989589497E-3</v>
      </c>
      <c r="U97">
        <v>2.7991100265555612E-3</v>
      </c>
      <c r="V97">
        <v>1.6628545508941571E-2</v>
      </c>
      <c r="W97">
        <v>2.4033209525890194E-3</v>
      </c>
    </row>
    <row r="98" spans="1:23" x14ac:dyDescent="0.2">
      <c r="A98" s="1">
        <v>43131</v>
      </c>
      <c r="B98">
        <v>6.1449999999999996</v>
      </c>
      <c r="C98">
        <f t="shared" si="7"/>
        <v>0.270284237726098</v>
      </c>
      <c r="D98">
        <v>95.01</v>
      </c>
      <c r="E98">
        <f t="shared" si="8"/>
        <v>0.11070844049567452</v>
      </c>
      <c r="F98">
        <v>41.857500000000002</v>
      </c>
      <c r="G98">
        <f t="shared" si="9"/>
        <v>-1.0636411983690735E-2</v>
      </c>
      <c r="H98">
        <v>72.544499999999999</v>
      </c>
      <c r="I98">
        <f t="shared" si="10"/>
        <v>0.24063892190479444</v>
      </c>
      <c r="J98">
        <v>138.19</v>
      </c>
      <c r="K98">
        <f t="shared" si="11"/>
        <v>-1.0950472373318074E-2</v>
      </c>
      <c r="L98">
        <v>59.110999999999997</v>
      </c>
      <c r="M98">
        <f t="shared" si="12"/>
        <v>0.12228972849819622</v>
      </c>
      <c r="N98">
        <v>47.59</v>
      </c>
      <c r="O98">
        <f t="shared" si="13"/>
        <v>3.7271142109851801E-2</v>
      </c>
      <c r="Q98">
        <v>0.270284237726098</v>
      </c>
      <c r="R98">
        <v>0.11070844049567452</v>
      </c>
      <c r="S98">
        <v>-1.0636411983690735E-2</v>
      </c>
      <c r="T98">
        <v>0.24063892190479444</v>
      </c>
      <c r="U98">
        <v>-1.0950472373318074E-2</v>
      </c>
      <c r="V98">
        <v>0.12228972849819622</v>
      </c>
      <c r="W98">
        <v>3.7271142109851801E-2</v>
      </c>
    </row>
    <row r="99" spans="1:23" x14ac:dyDescent="0.2">
      <c r="A99" s="1">
        <v>43159</v>
      </c>
      <c r="B99">
        <v>6.05</v>
      </c>
      <c r="C99">
        <f t="shared" si="7"/>
        <v>-1.5459723352318919E-2</v>
      </c>
      <c r="D99">
        <v>93.77</v>
      </c>
      <c r="E99">
        <f t="shared" si="8"/>
        <v>-1.3051257762340901E-2</v>
      </c>
      <c r="F99">
        <v>44.53</v>
      </c>
      <c r="G99">
        <f t="shared" si="9"/>
        <v>6.3847578092337084E-2</v>
      </c>
      <c r="H99">
        <v>75.622500000000002</v>
      </c>
      <c r="I99">
        <f t="shared" si="10"/>
        <v>4.2429129706593925E-2</v>
      </c>
      <c r="J99">
        <v>129.88</v>
      </c>
      <c r="K99">
        <f t="shared" si="11"/>
        <v>-6.0134597293581317E-2</v>
      </c>
      <c r="L99">
        <v>55.195999999999998</v>
      </c>
      <c r="M99">
        <f t="shared" si="12"/>
        <v>-6.6231327502495288E-2</v>
      </c>
      <c r="N99">
        <v>43.22</v>
      </c>
      <c r="O99">
        <f t="shared" si="13"/>
        <v>-9.1826013868459844E-2</v>
      </c>
      <c r="Q99">
        <v>-1.5459723352318919E-2</v>
      </c>
      <c r="R99">
        <v>-1.3051257762340901E-2</v>
      </c>
      <c r="S99">
        <v>6.3847578092337084E-2</v>
      </c>
      <c r="T99">
        <v>4.2429129706593925E-2</v>
      </c>
      <c r="U99">
        <v>-6.0134597293581317E-2</v>
      </c>
      <c r="V99">
        <v>-6.6231327502495288E-2</v>
      </c>
      <c r="W99">
        <v>-9.1826013868459844E-2</v>
      </c>
    </row>
    <row r="100" spans="1:23" x14ac:dyDescent="0.2">
      <c r="A100" s="1">
        <v>43188</v>
      </c>
      <c r="B100">
        <v>5.7897499999999997</v>
      </c>
      <c r="C100">
        <f t="shared" si="7"/>
        <v>-4.301652892561985E-2</v>
      </c>
      <c r="D100">
        <v>91.27</v>
      </c>
      <c r="E100">
        <f t="shared" si="8"/>
        <v>-2.6660978991148557E-2</v>
      </c>
      <c r="F100">
        <v>41.945</v>
      </c>
      <c r="G100">
        <f t="shared" si="9"/>
        <v>-5.8050752301819018E-2</v>
      </c>
      <c r="H100">
        <v>72.367000000000004</v>
      </c>
      <c r="I100">
        <f t="shared" si="10"/>
        <v>-4.3049357003537278E-2</v>
      </c>
      <c r="J100">
        <v>128.15</v>
      </c>
      <c r="K100">
        <f t="shared" si="11"/>
        <v>-1.331998768093617E-2</v>
      </c>
      <c r="L100">
        <v>51.856999999999999</v>
      </c>
      <c r="M100">
        <f t="shared" si="12"/>
        <v>-6.0493514022755247E-2</v>
      </c>
      <c r="N100">
        <v>43.43</v>
      </c>
      <c r="O100">
        <f t="shared" si="13"/>
        <v>4.8588616381305154E-3</v>
      </c>
      <c r="Q100">
        <v>-4.301652892561985E-2</v>
      </c>
      <c r="R100">
        <v>-2.6660978991148557E-2</v>
      </c>
      <c r="S100">
        <v>-5.8050752301819018E-2</v>
      </c>
      <c r="T100">
        <v>-4.3049357003537278E-2</v>
      </c>
      <c r="U100">
        <v>-1.331998768093617E-2</v>
      </c>
      <c r="V100">
        <v>-6.0493514022755247E-2</v>
      </c>
      <c r="W100">
        <v>4.8588616381305154E-3</v>
      </c>
    </row>
    <row r="101" spans="1:23" x14ac:dyDescent="0.2">
      <c r="A101" s="1">
        <v>43220</v>
      </c>
      <c r="B101">
        <v>5.6224999999999996</v>
      </c>
      <c r="C101">
        <f t="shared" si="7"/>
        <v>-2.8887257653612008E-2</v>
      </c>
      <c r="D101">
        <v>93.52</v>
      </c>
      <c r="E101">
        <f t="shared" si="8"/>
        <v>2.4652131039772106E-2</v>
      </c>
      <c r="F101">
        <v>41.314999999999998</v>
      </c>
      <c r="G101">
        <f t="shared" si="9"/>
        <v>-1.5019668613660808E-2</v>
      </c>
      <c r="H101">
        <v>78.3065</v>
      </c>
      <c r="I101">
        <f t="shared" si="10"/>
        <v>8.2074702557795615E-2</v>
      </c>
      <c r="J101">
        <v>126.49</v>
      </c>
      <c r="K101">
        <f t="shared" si="11"/>
        <v>-1.2953570035115183E-2</v>
      </c>
      <c r="L101">
        <v>50.929000000000002</v>
      </c>
      <c r="M101">
        <f t="shared" si="12"/>
        <v>-1.789536610293687E-2</v>
      </c>
      <c r="N101">
        <v>43.21</v>
      </c>
      <c r="O101">
        <f t="shared" si="13"/>
        <v>-5.0656228413538769E-3</v>
      </c>
      <c r="Q101">
        <v>-2.8887257653612008E-2</v>
      </c>
      <c r="R101">
        <v>2.4652131039772106E-2</v>
      </c>
      <c r="S101">
        <v>-1.5019668613660808E-2</v>
      </c>
      <c r="T101">
        <v>8.2074702557795615E-2</v>
      </c>
      <c r="U101">
        <v>-1.2953570035115183E-2</v>
      </c>
      <c r="V101">
        <v>-1.789536610293687E-2</v>
      </c>
      <c r="W101">
        <v>-5.0656228413538769E-3</v>
      </c>
    </row>
    <row r="102" spans="1:23" x14ac:dyDescent="0.2">
      <c r="A102" s="1">
        <v>43251</v>
      </c>
      <c r="B102">
        <v>6.3047500000000003</v>
      </c>
      <c r="C102">
        <f t="shared" si="7"/>
        <v>0.12134281903068043</v>
      </c>
      <c r="D102">
        <v>98.84</v>
      </c>
      <c r="E102">
        <f t="shared" si="8"/>
        <v>5.688622754491026E-2</v>
      </c>
      <c r="F102">
        <v>46.717500000000001</v>
      </c>
      <c r="G102">
        <f t="shared" si="9"/>
        <v>0.13076364516519434</v>
      </c>
      <c r="H102">
        <v>81.480999999999995</v>
      </c>
      <c r="I102">
        <f t="shared" si="10"/>
        <v>4.0539418822192218E-2</v>
      </c>
      <c r="J102">
        <v>119.62</v>
      </c>
      <c r="K102">
        <f t="shared" si="11"/>
        <v>-5.4312593880939133E-2</v>
      </c>
      <c r="L102">
        <v>55</v>
      </c>
      <c r="M102">
        <f t="shared" si="12"/>
        <v>7.9934811207759776E-2</v>
      </c>
      <c r="N102">
        <v>43</v>
      </c>
      <c r="O102">
        <f t="shared" si="13"/>
        <v>-4.8599861143254069E-3</v>
      </c>
      <c r="Q102">
        <v>0.12134281903068043</v>
      </c>
      <c r="R102">
        <v>5.688622754491026E-2</v>
      </c>
      <c r="S102">
        <v>0.13076364516519434</v>
      </c>
      <c r="T102">
        <v>4.0539418822192218E-2</v>
      </c>
      <c r="U102">
        <v>-5.4312593880939133E-2</v>
      </c>
      <c r="V102">
        <v>7.9934811207759776E-2</v>
      </c>
      <c r="W102">
        <v>-4.8599861143254069E-3</v>
      </c>
    </row>
    <row r="103" spans="1:23" x14ac:dyDescent="0.2">
      <c r="A103" s="1">
        <v>43280</v>
      </c>
      <c r="B103">
        <v>5.9225000000000003</v>
      </c>
      <c r="C103">
        <f t="shared" si="7"/>
        <v>-6.062889091557952E-2</v>
      </c>
      <c r="D103">
        <v>98.61</v>
      </c>
      <c r="E103">
        <f t="shared" si="8"/>
        <v>-2.3269931201942936E-3</v>
      </c>
      <c r="F103">
        <v>46.277500000000003</v>
      </c>
      <c r="G103">
        <f t="shared" si="9"/>
        <v>-9.4183121956439818E-3</v>
      </c>
      <c r="H103">
        <v>84.99</v>
      </c>
      <c r="I103">
        <f t="shared" si="10"/>
        <v>4.306525447650373E-2</v>
      </c>
      <c r="J103">
        <v>121.34</v>
      </c>
      <c r="K103">
        <f t="shared" si="11"/>
        <v>1.4378866410299271E-2</v>
      </c>
      <c r="L103">
        <v>56.459499999999998</v>
      </c>
      <c r="M103">
        <f t="shared" si="12"/>
        <v>2.6536363636363608E-2</v>
      </c>
      <c r="N103">
        <v>43.86</v>
      </c>
      <c r="O103">
        <f t="shared" si="13"/>
        <v>1.9999999999999987E-2</v>
      </c>
      <c r="Q103">
        <v>-6.062889091557952E-2</v>
      </c>
      <c r="R103">
        <v>-2.3269931201942936E-3</v>
      </c>
      <c r="S103">
        <v>-9.4183121956439818E-3</v>
      </c>
      <c r="T103">
        <v>4.306525447650373E-2</v>
      </c>
      <c r="U103">
        <v>1.4378866410299271E-2</v>
      </c>
      <c r="V103">
        <v>2.6536363636363608E-2</v>
      </c>
      <c r="W103">
        <v>1.9999999999999987E-2</v>
      </c>
    </row>
    <row r="104" spans="1:23" x14ac:dyDescent="0.2">
      <c r="A104" s="1">
        <v>43312</v>
      </c>
      <c r="B104">
        <v>6.1215000000000002</v>
      </c>
      <c r="C104">
        <f t="shared" si="7"/>
        <v>3.3600675390460084E-2</v>
      </c>
      <c r="D104">
        <v>106.08</v>
      </c>
      <c r="E104">
        <f t="shared" si="8"/>
        <v>7.5752966230605401E-2</v>
      </c>
      <c r="F104">
        <v>47.572499999999998</v>
      </c>
      <c r="G104">
        <f t="shared" si="9"/>
        <v>2.7983361244665217E-2</v>
      </c>
      <c r="H104">
        <v>88.872</v>
      </c>
      <c r="I104">
        <f t="shared" si="10"/>
        <v>4.5675961877868043E-2</v>
      </c>
      <c r="J104">
        <v>132.52000000000001</v>
      </c>
      <c r="K104">
        <f t="shared" si="11"/>
        <v>9.213779462666892E-2</v>
      </c>
      <c r="L104">
        <v>61.360999999999997</v>
      </c>
      <c r="M104">
        <f t="shared" si="12"/>
        <v>8.681444221078824E-2</v>
      </c>
      <c r="N104">
        <v>46.63</v>
      </c>
      <c r="O104">
        <f t="shared" si="13"/>
        <v>6.3155494756042027E-2</v>
      </c>
      <c r="Q104">
        <v>3.3600675390460084E-2</v>
      </c>
      <c r="R104">
        <v>7.5752966230605401E-2</v>
      </c>
      <c r="S104">
        <v>2.7983361244665217E-2</v>
      </c>
      <c r="T104">
        <v>4.5675961877868043E-2</v>
      </c>
      <c r="U104">
        <v>9.213779462666892E-2</v>
      </c>
      <c r="V104">
        <v>8.681444221078824E-2</v>
      </c>
      <c r="W104">
        <v>6.3155494756042027E-2</v>
      </c>
    </row>
    <row r="105" spans="1:23" x14ac:dyDescent="0.2">
      <c r="A105" s="1">
        <v>43343</v>
      </c>
      <c r="B105">
        <v>7.0170000000000003</v>
      </c>
      <c r="C105">
        <f t="shared" si="7"/>
        <v>0.14628767458956141</v>
      </c>
      <c r="D105">
        <v>112.33</v>
      </c>
      <c r="E105">
        <f t="shared" si="8"/>
        <v>5.8917797888386123E-2</v>
      </c>
      <c r="F105">
        <v>56.907499999999999</v>
      </c>
      <c r="G105">
        <f t="shared" si="9"/>
        <v>0.19622681170844503</v>
      </c>
      <c r="H105">
        <v>100.63549999999999</v>
      </c>
      <c r="I105">
        <f t="shared" si="10"/>
        <v>0.13236452425960926</v>
      </c>
      <c r="J105">
        <v>134.69</v>
      </c>
      <c r="K105">
        <f t="shared" si="11"/>
        <v>1.6374886809538088E-2</v>
      </c>
      <c r="L105">
        <v>61.59</v>
      </c>
      <c r="M105">
        <f t="shared" si="12"/>
        <v>3.7320121901534579E-3</v>
      </c>
      <c r="N105">
        <v>44.57</v>
      </c>
      <c r="O105">
        <f t="shared" si="13"/>
        <v>-4.4177568089212998E-2</v>
      </c>
      <c r="Q105">
        <v>0.14628767458956141</v>
      </c>
      <c r="R105">
        <v>5.8917797888386123E-2</v>
      </c>
      <c r="S105">
        <v>0.19622681170844503</v>
      </c>
      <c r="T105">
        <v>0.13236452425960926</v>
      </c>
      <c r="U105">
        <v>1.6374886809538088E-2</v>
      </c>
      <c r="V105">
        <v>3.7320121901534579E-3</v>
      </c>
      <c r="W105">
        <v>-4.4177568089212998E-2</v>
      </c>
    </row>
    <row r="106" spans="1:23" x14ac:dyDescent="0.2">
      <c r="A106" s="1">
        <v>43371</v>
      </c>
      <c r="B106">
        <v>7.0255000000000001</v>
      </c>
      <c r="C106">
        <f t="shared" si="7"/>
        <v>1.2113438791505956E-3</v>
      </c>
      <c r="D106">
        <v>114.37</v>
      </c>
      <c r="E106">
        <f t="shared" si="8"/>
        <v>1.8160776284162791E-2</v>
      </c>
      <c r="F106">
        <v>56.435000000000002</v>
      </c>
      <c r="G106">
        <f t="shared" si="9"/>
        <v>-8.3029477661116131E-3</v>
      </c>
      <c r="H106">
        <v>100.15</v>
      </c>
      <c r="I106">
        <f t="shared" si="10"/>
        <v>-4.8243413109686703E-3</v>
      </c>
      <c r="J106">
        <v>138.16999999999999</v>
      </c>
      <c r="K106">
        <f t="shared" si="11"/>
        <v>2.583710743188054E-2</v>
      </c>
      <c r="L106">
        <v>60.353999999999999</v>
      </c>
      <c r="M106">
        <f t="shared" si="12"/>
        <v>-2.0068192888455984E-2</v>
      </c>
      <c r="N106">
        <v>46.19</v>
      </c>
      <c r="O106">
        <f t="shared" si="13"/>
        <v>3.6347318824321233E-2</v>
      </c>
      <c r="Q106">
        <v>1.2113438791505956E-3</v>
      </c>
      <c r="R106">
        <v>1.8160776284162791E-2</v>
      </c>
      <c r="S106">
        <v>-8.3029477661116131E-3</v>
      </c>
      <c r="T106">
        <v>-4.8243413109686703E-3</v>
      </c>
      <c r="U106">
        <v>2.583710743188054E-2</v>
      </c>
      <c r="V106">
        <v>-2.0068192888455984E-2</v>
      </c>
      <c r="W106">
        <v>3.6347318824321233E-2</v>
      </c>
    </row>
    <row r="107" spans="1:23" x14ac:dyDescent="0.2">
      <c r="A107" s="1">
        <v>43404</v>
      </c>
      <c r="B107">
        <v>5.2707499999999996</v>
      </c>
      <c r="C107">
        <f t="shared" si="7"/>
        <v>-0.24976869973667362</v>
      </c>
      <c r="D107">
        <v>106.81</v>
      </c>
      <c r="E107">
        <f t="shared" si="8"/>
        <v>-6.6101250327883207E-2</v>
      </c>
      <c r="F107">
        <v>54.715000000000003</v>
      </c>
      <c r="G107">
        <f t="shared" si="9"/>
        <v>-3.0477540533356939E-2</v>
      </c>
      <c r="H107">
        <v>79.900499999999994</v>
      </c>
      <c r="I107">
        <f t="shared" si="10"/>
        <v>-0.20219171243135309</v>
      </c>
      <c r="J107">
        <v>139.99</v>
      </c>
      <c r="K107">
        <f t="shared" si="11"/>
        <v>1.3172179199536961E-2</v>
      </c>
      <c r="L107">
        <v>54.529000000000003</v>
      </c>
      <c r="M107">
        <f t="shared" si="12"/>
        <v>-9.6513901315571388E-2</v>
      </c>
      <c r="N107">
        <v>47.88</v>
      </c>
      <c r="O107">
        <f t="shared" si="13"/>
        <v>3.6588006061918268E-2</v>
      </c>
      <c r="Q107">
        <v>-0.24976869973667362</v>
      </c>
      <c r="R107">
        <v>-6.6101250327883207E-2</v>
      </c>
      <c r="S107">
        <v>-3.0477540533356939E-2</v>
      </c>
      <c r="T107">
        <v>-0.20219171243135309</v>
      </c>
      <c r="U107">
        <v>1.3172179199536961E-2</v>
      </c>
      <c r="V107">
        <v>-9.6513901315571388E-2</v>
      </c>
      <c r="W107">
        <v>3.6588006061918268E-2</v>
      </c>
    </row>
    <row r="108" spans="1:23" x14ac:dyDescent="0.2">
      <c r="A108" s="1">
        <v>43434</v>
      </c>
      <c r="B108">
        <v>4.08575</v>
      </c>
      <c r="C108">
        <f t="shared" si="7"/>
        <v>-0.22482568894369867</v>
      </c>
      <c r="D108">
        <v>110.89</v>
      </c>
      <c r="E108">
        <f t="shared" si="8"/>
        <v>3.8198670536466604E-2</v>
      </c>
      <c r="F108">
        <v>44.645000000000003</v>
      </c>
      <c r="G108">
        <f t="shared" si="9"/>
        <v>-0.18404459471808463</v>
      </c>
      <c r="H108">
        <v>84.508499999999998</v>
      </c>
      <c r="I108">
        <f t="shared" si="10"/>
        <v>5.7671729213208983E-2</v>
      </c>
      <c r="J108">
        <v>146.9</v>
      </c>
      <c r="K108">
        <f t="shared" si="11"/>
        <v>4.9360668619187059E-2</v>
      </c>
      <c r="L108">
        <v>55.482500000000002</v>
      </c>
      <c r="M108">
        <f t="shared" si="12"/>
        <v>1.748610830933995E-2</v>
      </c>
      <c r="N108">
        <v>50.4</v>
      </c>
      <c r="O108">
        <f t="shared" si="13"/>
        <v>5.2631578947368335E-2</v>
      </c>
      <c r="Q108">
        <v>-0.22482568894369867</v>
      </c>
      <c r="R108">
        <v>3.8198670536466604E-2</v>
      </c>
      <c r="S108">
        <v>-0.18404459471808463</v>
      </c>
      <c r="T108">
        <v>5.7671729213208983E-2</v>
      </c>
      <c r="U108">
        <v>4.9360668619187059E-2</v>
      </c>
      <c r="V108">
        <v>1.748610830933995E-2</v>
      </c>
      <c r="W108">
        <v>5.2631578947368335E-2</v>
      </c>
    </row>
    <row r="109" spans="1:23" x14ac:dyDescent="0.2">
      <c r="A109" s="1">
        <v>43465</v>
      </c>
      <c r="B109">
        <v>3.3374999999999999</v>
      </c>
      <c r="C109">
        <f t="shared" si="7"/>
        <v>-0.18313651104448389</v>
      </c>
      <c r="D109">
        <v>101.57</v>
      </c>
      <c r="E109">
        <f t="shared" si="8"/>
        <v>-8.4047254035530775E-2</v>
      </c>
      <c r="F109">
        <v>39.435000000000002</v>
      </c>
      <c r="G109">
        <f t="shared" si="9"/>
        <v>-0.11669839847687312</v>
      </c>
      <c r="H109">
        <v>75.098500000000001</v>
      </c>
      <c r="I109">
        <f t="shared" si="10"/>
        <v>-0.11134974588355014</v>
      </c>
      <c r="J109">
        <v>129.05000000000001</v>
      </c>
      <c r="K109">
        <f t="shared" si="11"/>
        <v>-0.12151123213070111</v>
      </c>
      <c r="L109">
        <v>52.247999999999998</v>
      </c>
      <c r="M109">
        <f t="shared" si="12"/>
        <v>-5.8297661424773647E-2</v>
      </c>
      <c r="N109">
        <v>47.35</v>
      </c>
      <c r="O109">
        <f t="shared" si="13"/>
        <v>-6.051587301587296E-2</v>
      </c>
      <c r="Q109">
        <v>-0.18313651104448389</v>
      </c>
      <c r="R109">
        <v>-8.4047254035530775E-2</v>
      </c>
      <c r="S109">
        <v>-0.11669839847687312</v>
      </c>
      <c r="T109">
        <v>-0.11134974588355014</v>
      </c>
      <c r="U109">
        <v>-0.12151123213070111</v>
      </c>
      <c r="V109">
        <v>-5.8297661424773647E-2</v>
      </c>
      <c r="W109">
        <v>-6.051587301587296E-2</v>
      </c>
    </row>
    <row r="110" spans="1:23" x14ac:dyDescent="0.2">
      <c r="A110" s="1">
        <v>43496</v>
      </c>
      <c r="B110">
        <v>3.59375</v>
      </c>
      <c r="C110">
        <f t="shared" si="7"/>
        <v>7.6779026217228499E-2</v>
      </c>
      <c r="D110">
        <v>104.43</v>
      </c>
      <c r="E110">
        <f t="shared" si="8"/>
        <v>2.8157920645860136E-2</v>
      </c>
      <c r="F110">
        <v>41.61</v>
      </c>
      <c r="G110">
        <f t="shared" si="9"/>
        <v>5.5154050969950477E-2</v>
      </c>
      <c r="H110">
        <v>85.936499999999995</v>
      </c>
      <c r="I110">
        <f t="shared" si="10"/>
        <v>0.14431713016904457</v>
      </c>
      <c r="J110">
        <v>133.08000000000001</v>
      </c>
      <c r="K110">
        <f t="shared" si="11"/>
        <v>3.1228206121658279E-2</v>
      </c>
      <c r="L110">
        <v>56.294499999999999</v>
      </c>
      <c r="M110">
        <f t="shared" si="12"/>
        <v>7.7447940591027442E-2</v>
      </c>
      <c r="N110">
        <v>48.13</v>
      </c>
      <c r="O110">
        <f t="shared" si="13"/>
        <v>1.647307286166845E-2</v>
      </c>
      <c r="Q110">
        <v>7.6779026217228499E-2</v>
      </c>
      <c r="R110">
        <v>2.8157920645860136E-2</v>
      </c>
      <c r="S110">
        <v>5.5154050969950477E-2</v>
      </c>
      <c r="T110">
        <v>0.14431713016904457</v>
      </c>
      <c r="U110">
        <v>3.1228206121658279E-2</v>
      </c>
      <c r="V110">
        <v>7.7447940591027442E-2</v>
      </c>
      <c r="W110">
        <v>1.647307286166845E-2</v>
      </c>
    </row>
    <row r="111" spans="1:23" x14ac:dyDescent="0.2">
      <c r="A111" s="1">
        <v>43524</v>
      </c>
      <c r="B111">
        <v>3.8565</v>
      </c>
      <c r="C111">
        <f t="shared" si="7"/>
        <v>7.3113043478260878E-2</v>
      </c>
      <c r="D111">
        <v>112.03</v>
      </c>
      <c r="E111">
        <f t="shared" si="8"/>
        <v>7.2776022215838301E-2</v>
      </c>
      <c r="F111">
        <v>43.287500000000001</v>
      </c>
      <c r="G111">
        <f t="shared" si="9"/>
        <v>4.0314828166306223E-2</v>
      </c>
      <c r="H111">
        <v>81.991500000000002</v>
      </c>
      <c r="I111">
        <f t="shared" si="10"/>
        <v>-4.5905988724232349E-2</v>
      </c>
      <c r="J111">
        <v>136.63999999999999</v>
      </c>
      <c r="K111">
        <f t="shared" si="11"/>
        <v>2.6750826570483721E-2</v>
      </c>
      <c r="L111">
        <v>56.327500000000001</v>
      </c>
      <c r="M111">
        <f t="shared" si="12"/>
        <v>5.8620291502724513E-4</v>
      </c>
      <c r="N111">
        <v>45.34</v>
      </c>
      <c r="O111">
        <f t="shared" si="13"/>
        <v>-5.7968003324329921E-2</v>
      </c>
      <c r="Q111">
        <v>7.3113043478260878E-2</v>
      </c>
      <c r="R111">
        <v>7.2776022215838301E-2</v>
      </c>
      <c r="S111">
        <v>4.0314828166306223E-2</v>
      </c>
      <c r="T111">
        <v>-4.5905988724232349E-2</v>
      </c>
      <c r="U111">
        <v>2.6750826570483721E-2</v>
      </c>
      <c r="V111">
        <v>5.8620291502724513E-4</v>
      </c>
      <c r="W111">
        <v>-5.7968003324329921E-2</v>
      </c>
    </row>
    <row r="112" spans="1:23" x14ac:dyDescent="0.2">
      <c r="A112" s="1">
        <v>43553</v>
      </c>
      <c r="B112">
        <v>4.4889999999999999</v>
      </c>
      <c r="C112">
        <f t="shared" si="7"/>
        <v>0.16400881628419547</v>
      </c>
      <c r="D112">
        <v>117.94</v>
      </c>
      <c r="E112">
        <f t="shared" si="8"/>
        <v>5.2753726680353448E-2</v>
      </c>
      <c r="F112">
        <v>47.487499999999997</v>
      </c>
      <c r="G112">
        <f t="shared" si="9"/>
        <v>9.7025700259890171E-2</v>
      </c>
      <c r="H112">
        <v>89.037499999999994</v>
      </c>
      <c r="I112">
        <f t="shared" si="10"/>
        <v>8.5935737241055382E-2</v>
      </c>
      <c r="J112">
        <v>139.79</v>
      </c>
      <c r="K112">
        <f t="shared" si="11"/>
        <v>2.3053278688524633E-2</v>
      </c>
      <c r="L112">
        <v>58.844499999999996</v>
      </c>
      <c r="M112">
        <f t="shared" si="12"/>
        <v>4.4685100528161124E-2</v>
      </c>
      <c r="N112">
        <v>46.86</v>
      </c>
      <c r="O112">
        <f t="shared" si="13"/>
        <v>3.3524481693868458E-2</v>
      </c>
      <c r="Q112">
        <v>0.16400881628419547</v>
      </c>
      <c r="R112">
        <v>5.2753726680353448E-2</v>
      </c>
      <c r="S112">
        <v>9.7025700259890171E-2</v>
      </c>
      <c r="T112">
        <v>8.5935737241055382E-2</v>
      </c>
      <c r="U112">
        <v>2.3053278688524633E-2</v>
      </c>
      <c r="V112">
        <v>4.4685100528161124E-2</v>
      </c>
      <c r="W112">
        <v>3.3524481693868458E-2</v>
      </c>
    </row>
    <row r="113" spans="1:23" x14ac:dyDescent="0.2">
      <c r="A113" s="1">
        <v>43585</v>
      </c>
      <c r="B113">
        <v>4.5250000000000004</v>
      </c>
      <c r="C113">
        <f t="shared" si="7"/>
        <v>8.0196034751616116E-3</v>
      </c>
      <c r="D113">
        <v>130.6</v>
      </c>
      <c r="E113">
        <f t="shared" si="8"/>
        <v>0.10734271663557739</v>
      </c>
      <c r="F113">
        <v>50.167499999999997</v>
      </c>
      <c r="G113">
        <f t="shared" si="9"/>
        <v>5.6435904185311921E-2</v>
      </c>
      <c r="H113">
        <v>96.325999999999993</v>
      </c>
      <c r="I113">
        <f t="shared" si="10"/>
        <v>8.1858767373297767E-2</v>
      </c>
      <c r="J113">
        <v>141.19999999999999</v>
      </c>
      <c r="K113">
        <f t="shared" si="11"/>
        <v>1.0086558409042112E-2</v>
      </c>
      <c r="L113">
        <v>59.948</v>
      </c>
      <c r="M113">
        <f t="shared" si="12"/>
        <v>1.8752814621587472E-2</v>
      </c>
      <c r="N113">
        <v>49.06</v>
      </c>
      <c r="O113">
        <f t="shared" si="13"/>
        <v>4.6948356807511797E-2</v>
      </c>
      <c r="Q113">
        <v>8.0196034751616116E-3</v>
      </c>
      <c r="R113">
        <v>0.10734271663557739</v>
      </c>
      <c r="S113">
        <v>5.6435904185311921E-2</v>
      </c>
      <c r="T113">
        <v>8.1858767373297767E-2</v>
      </c>
      <c r="U113">
        <v>1.0086558409042112E-2</v>
      </c>
      <c r="V113">
        <v>1.8752814621587472E-2</v>
      </c>
      <c r="W113">
        <v>4.6948356807511797E-2</v>
      </c>
    </row>
    <row r="114" spans="1:23" x14ac:dyDescent="0.2">
      <c r="A114" s="1">
        <v>43616</v>
      </c>
      <c r="B114">
        <v>3.3864999999999998</v>
      </c>
      <c r="C114">
        <f t="shared" si="7"/>
        <v>-0.25160220994475146</v>
      </c>
      <c r="D114">
        <v>123.68</v>
      </c>
      <c r="E114">
        <f t="shared" si="8"/>
        <v>-5.2986217457886585E-2</v>
      </c>
      <c r="F114">
        <v>43.767499999999998</v>
      </c>
      <c r="G114">
        <f t="shared" si="9"/>
        <v>-0.12757263168385904</v>
      </c>
      <c r="H114">
        <v>88.753500000000003</v>
      </c>
      <c r="I114">
        <f t="shared" si="10"/>
        <v>-7.8613250835703669E-2</v>
      </c>
      <c r="J114">
        <v>131.15</v>
      </c>
      <c r="K114">
        <f t="shared" si="11"/>
        <v>-7.1175637393767588E-2</v>
      </c>
      <c r="L114">
        <v>55.325000000000003</v>
      </c>
      <c r="M114">
        <f t="shared" si="12"/>
        <v>-7.7116834589977937E-2</v>
      </c>
      <c r="N114">
        <v>49.13</v>
      </c>
      <c r="O114">
        <f t="shared" si="13"/>
        <v>1.4268242967794594E-3</v>
      </c>
      <c r="Q114">
        <v>-0.25160220994475146</v>
      </c>
      <c r="R114">
        <v>-5.2986217457886585E-2</v>
      </c>
      <c r="S114">
        <v>-0.12757263168385904</v>
      </c>
      <c r="T114">
        <v>-7.8613250835703669E-2</v>
      </c>
      <c r="U114">
        <v>-7.1175637393767588E-2</v>
      </c>
      <c r="V114">
        <v>-7.7116834589977937E-2</v>
      </c>
      <c r="W114">
        <v>1.4268242967794594E-3</v>
      </c>
    </row>
    <row r="115" spans="1:23" x14ac:dyDescent="0.2">
      <c r="A115" s="1">
        <v>43644</v>
      </c>
      <c r="B115">
        <v>4.1057499999999996</v>
      </c>
      <c r="C115">
        <f t="shared" si="7"/>
        <v>0.21238742064077951</v>
      </c>
      <c r="D115">
        <v>133.96</v>
      </c>
      <c r="E115">
        <f t="shared" si="8"/>
        <v>8.3117723156532999E-2</v>
      </c>
      <c r="F115">
        <v>49.48</v>
      </c>
      <c r="G115">
        <f t="shared" si="9"/>
        <v>0.13051922088307533</v>
      </c>
      <c r="H115">
        <v>94.6815</v>
      </c>
      <c r="I115">
        <f t="shared" si="10"/>
        <v>6.6791732157041664E-2</v>
      </c>
      <c r="J115">
        <v>139.28</v>
      </c>
      <c r="K115">
        <f t="shared" si="11"/>
        <v>6.1990087685855851E-2</v>
      </c>
      <c r="L115">
        <v>54.14</v>
      </c>
      <c r="M115">
        <f t="shared" si="12"/>
        <v>-2.1418888386805283E-2</v>
      </c>
      <c r="N115">
        <v>50.92</v>
      </c>
      <c r="O115">
        <f t="shared" si="13"/>
        <v>3.6433950742926907E-2</v>
      </c>
      <c r="Q115">
        <v>0.21238742064077951</v>
      </c>
      <c r="R115">
        <v>8.3117723156532999E-2</v>
      </c>
      <c r="S115">
        <v>0.13051922088307533</v>
      </c>
      <c r="T115">
        <v>6.6791732157041664E-2</v>
      </c>
      <c r="U115">
        <v>6.1990087685855851E-2</v>
      </c>
      <c r="V115">
        <v>-2.1418888386805283E-2</v>
      </c>
      <c r="W115">
        <v>3.6433950742926907E-2</v>
      </c>
    </row>
    <row r="116" spans="1:23" x14ac:dyDescent="0.2">
      <c r="A116" s="1">
        <v>43677</v>
      </c>
      <c r="B116">
        <v>4.218</v>
      </c>
      <c r="C116">
        <f t="shared" si="7"/>
        <v>2.7339706509164077E-2</v>
      </c>
      <c r="D116">
        <v>136.27000000000001</v>
      </c>
      <c r="E116">
        <f t="shared" si="8"/>
        <v>1.7243953418931039E-2</v>
      </c>
      <c r="F116">
        <v>53.26</v>
      </c>
      <c r="G116">
        <f t="shared" si="9"/>
        <v>7.6394502829426059E-2</v>
      </c>
      <c r="H116">
        <v>93.338999999999999</v>
      </c>
      <c r="I116">
        <f t="shared" si="10"/>
        <v>-1.4179116300438851E-2</v>
      </c>
      <c r="J116">
        <v>130.22</v>
      </c>
      <c r="K116">
        <f t="shared" si="11"/>
        <v>-6.5048822515795537E-2</v>
      </c>
      <c r="L116">
        <v>60.91</v>
      </c>
      <c r="M116">
        <f t="shared" si="12"/>
        <v>0.12504617657923894</v>
      </c>
      <c r="N116">
        <v>52.63</v>
      </c>
      <c r="O116">
        <f t="shared" si="13"/>
        <v>3.358208955223882E-2</v>
      </c>
      <c r="Q116">
        <v>2.7339706509164077E-2</v>
      </c>
      <c r="R116">
        <v>1.7243953418931039E-2</v>
      </c>
      <c r="S116">
        <v>7.6394502829426059E-2</v>
      </c>
      <c r="T116">
        <v>-1.4179116300438851E-2</v>
      </c>
      <c r="U116">
        <v>-6.5048822515795537E-2</v>
      </c>
      <c r="V116">
        <v>0.12504617657923894</v>
      </c>
      <c r="W116">
        <v>3.358208955223882E-2</v>
      </c>
    </row>
    <row r="117" spans="1:23" x14ac:dyDescent="0.2">
      <c r="A117" s="1">
        <v>43707</v>
      </c>
      <c r="B117">
        <v>4.1877500000000003</v>
      </c>
      <c r="C117">
        <f t="shared" si="7"/>
        <v>-7.1716453295399872E-3</v>
      </c>
      <c r="D117">
        <v>137.86000000000001</v>
      </c>
      <c r="E117">
        <f t="shared" si="8"/>
        <v>1.1668012034930677E-2</v>
      </c>
      <c r="F117">
        <v>52.185000000000002</v>
      </c>
      <c r="G117">
        <f t="shared" si="9"/>
        <v>-2.0184003004130601E-2</v>
      </c>
      <c r="H117">
        <v>88.814499999999995</v>
      </c>
      <c r="I117">
        <f t="shared" si="10"/>
        <v>-4.8473842659552846E-2</v>
      </c>
      <c r="J117">
        <v>128.36000000000001</v>
      </c>
      <c r="K117">
        <f t="shared" si="11"/>
        <v>-1.4283520196590273E-2</v>
      </c>
      <c r="L117">
        <v>59.526499999999999</v>
      </c>
      <c r="M117">
        <f t="shared" si="12"/>
        <v>-2.2713840091938893E-2</v>
      </c>
      <c r="N117">
        <v>55.04</v>
      </c>
      <c r="O117">
        <f t="shared" si="13"/>
        <v>4.5791373741212171E-2</v>
      </c>
      <c r="Q117">
        <v>-7.1716453295399872E-3</v>
      </c>
      <c r="R117">
        <v>1.1668012034930677E-2</v>
      </c>
      <c r="S117">
        <v>-2.0184003004130601E-2</v>
      </c>
      <c r="T117">
        <v>-4.8473842659552846E-2</v>
      </c>
      <c r="U117">
        <v>-1.4283520196590273E-2</v>
      </c>
      <c r="V117">
        <v>-2.2713840091938893E-2</v>
      </c>
      <c r="W117">
        <v>4.5791373741212171E-2</v>
      </c>
    </row>
    <row r="118" spans="1:23" x14ac:dyDescent="0.2">
      <c r="A118" s="1">
        <v>43738</v>
      </c>
      <c r="B118">
        <v>4.35175</v>
      </c>
      <c r="C118">
        <f t="shared" si="7"/>
        <v>3.9161841084114309E-2</v>
      </c>
      <c r="D118">
        <v>139.03</v>
      </c>
      <c r="E118">
        <f t="shared" si="8"/>
        <v>8.4868707384301995E-3</v>
      </c>
      <c r="F118">
        <v>55.9925</v>
      </c>
      <c r="G118">
        <f t="shared" si="9"/>
        <v>7.2961578997796248E-2</v>
      </c>
      <c r="H118">
        <v>86.795500000000004</v>
      </c>
      <c r="I118">
        <f t="shared" si="10"/>
        <v>-2.2732774490651766E-2</v>
      </c>
      <c r="J118">
        <v>129.38</v>
      </c>
      <c r="K118">
        <f t="shared" si="11"/>
        <v>7.9464007478963986E-3</v>
      </c>
      <c r="L118">
        <v>61.057000000000002</v>
      </c>
      <c r="M118">
        <f t="shared" si="12"/>
        <v>2.5711237852049148E-2</v>
      </c>
      <c r="N118">
        <v>54.44</v>
      </c>
      <c r="O118">
        <f t="shared" si="13"/>
        <v>-1.0901162790697701E-2</v>
      </c>
      <c r="Q118">
        <v>3.9161841084114309E-2</v>
      </c>
      <c r="R118">
        <v>8.4868707384301995E-3</v>
      </c>
      <c r="S118">
        <v>7.2961578997796248E-2</v>
      </c>
      <c r="T118">
        <v>-2.2732774490651766E-2</v>
      </c>
      <c r="U118">
        <v>7.9464007478963986E-3</v>
      </c>
      <c r="V118">
        <v>2.5711237852049148E-2</v>
      </c>
      <c r="W118">
        <v>-1.0901162790697701E-2</v>
      </c>
    </row>
    <row r="119" spans="1:23" x14ac:dyDescent="0.2">
      <c r="A119" s="1">
        <v>43769</v>
      </c>
      <c r="B119">
        <v>5.0255000000000001</v>
      </c>
      <c r="C119">
        <f t="shared" si="7"/>
        <v>0.15482277244786583</v>
      </c>
      <c r="D119">
        <v>143.37</v>
      </c>
      <c r="E119">
        <f t="shared" si="8"/>
        <v>3.1216284255196746E-2</v>
      </c>
      <c r="F119">
        <v>62.19</v>
      </c>
      <c r="G119">
        <f t="shared" si="9"/>
        <v>0.11068446666964323</v>
      </c>
      <c r="H119">
        <v>88.832999999999998</v>
      </c>
      <c r="I119">
        <f t="shared" si="10"/>
        <v>2.3474719311484975E-2</v>
      </c>
      <c r="J119">
        <v>132.04</v>
      </c>
      <c r="K119">
        <f t="shared" si="11"/>
        <v>2.0559591899829931E-2</v>
      </c>
      <c r="L119">
        <v>62.94</v>
      </c>
      <c r="M119">
        <f t="shared" si="12"/>
        <v>3.0840034721653461E-2</v>
      </c>
      <c r="N119">
        <v>54.43</v>
      </c>
      <c r="O119">
        <f t="shared" si="13"/>
        <v>-1.8368846436440136E-4</v>
      </c>
      <c r="Q119">
        <v>0.15482277244786583</v>
      </c>
      <c r="R119">
        <v>3.1216284255196746E-2</v>
      </c>
      <c r="S119">
        <v>0.11068446666964323</v>
      </c>
      <c r="T119">
        <v>2.3474719311484975E-2</v>
      </c>
      <c r="U119">
        <v>2.0559591899829931E-2</v>
      </c>
      <c r="V119">
        <v>3.0840034721653461E-2</v>
      </c>
      <c r="W119">
        <v>-1.8368846436440136E-4</v>
      </c>
    </row>
    <row r="120" spans="1:23" x14ac:dyDescent="0.2">
      <c r="A120" s="1">
        <v>43798</v>
      </c>
      <c r="B120">
        <v>5.4184999999999999</v>
      </c>
      <c r="C120">
        <f t="shared" si="7"/>
        <v>7.8201174012536026E-2</v>
      </c>
      <c r="D120">
        <v>151.38</v>
      </c>
      <c r="E120">
        <f t="shared" si="8"/>
        <v>5.5869428750784621E-2</v>
      </c>
      <c r="F120">
        <v>66.8125</v>
      </c>
      <c r="G120">
        <f t="shared" si="9"/>
        <v>7.4328670204212938E-2</v>
      </c>
      <c r="H120">
        <v>90.04</v>
      </c>
      <c r="I120">
        <f t="shared" si="10"/>
        <v>1.3587293010480428E-2</v>
      </c>
      <c r="J120">
        <v>137.49</v>
      </c>
      <c r="K120">
        <f t="shared" si="11"/>
        <v>4.1275371099666898E-2</v>
      </c>
      <c r="L120">
        <v>65.204499999999996</v>
      </c>
      <c r="M120">
        <f t="shared" si="12"/>
        <v>3.5978709882427684E-2</v>
      </c>
      <c r="N120">
        <v>53.4</v>
      </c>
      <c r="O120">
        <f t="shared" si="13"/>
        <v>-1.8923387837589584E-2</v>
      </c>
      <c r="Q120">
        <v>7.8201174012536026E-2</v>
      </c>
      <c r="R120">
        <v>5.5869428750784621E-2</v>
      </c>
      <c r="S120">
        <v>7.4328670204212938E-2</v>
      </c>
      <c r="T120">
        <v>1.3587293010480428E-2</v>
      </c>
      <c r="U120">
        <v>4.1275371099666898E-2</v>
      </c>
      <c r="V120">
        <v>3.5978709882427684E-2</v>
      </c>
      <c r="W120">
        <v>-1.8923387837589584E-2</v>
      </c>
    </row>
    <row r="121" spans="1:23" x14ac:dyDescent="0.2">
      <c r="A121" s="1">
        <v>43830</v>
      </c>
      <c r="B121">
        <v>5.8825000000000003</v>
      </c>
      <c r="C121">
        <f t="shared" si="7"/>
        <v>8.5632555135185098E-2</v>
      </c>
      <c r="D121">
        <v>157.69999999999999</v>
      </c>
      <c r="E121">
        <f t="shared" si="8"/>
        <v>4.1749240322367508E-2</v>
      </c>
      <c r="F121">
        <v>73.412499999999994</v>
      </c>
      <c r="G121">
        <f t="shared" si="9"/>
        <v>9.8783910196445196E-2</v>
      </c>
      <c r="H121">
        <v>92.391999999999996</v>
      </c>
      <c r="I121">
        <f t="shared" si="10"/>
        <v>2.6121723678365055E-2</v>
      </c>
      <c r="J121">
        <v>145.87</v>
      </c>
      <c r="K121">
        <f t="shared" si="11"/>
        <v>6.0949887264528289E-2</v>
      </c>
      <c r="L121">
        <v>66.969499999999996</v>
      </c>
      <c r="M121">
        <f t="shared" si="12"/>
        <v>2.7068683909852859E-2</v>
      </c>
      <c r="N121">
        <v>55.35</v>
      </c>
      <c r="O121">
        <f t="shared" si="13"/>
        <v>3.6516853932584324E-2</v>
      </c>
      <c r="Q121">
        <v>8.5632555135185098E-2</v>
      </c>
      <c r="R121">
        <v>4.1749240322367508E-2</v>
      </c>
      <c r="S121">
        <v>9.8783910196445196E-2</v>
      </c>
      <c r="T121">
        <v>2.6121723678365055E-2</v>
      </c>
      <c r="U121">
        <v>6.0949887264528289E-2</v>
      </c>
      <c r="V121">
        <v>2.7068683909852859E-2</v>
      </c>
      <c r="W121">
        <v>3.6516853932584324E-2</v>
      </c>
    </row>
    <row r="122" spans="1:23" x14ac:dyDescent="0.2">
      <c r="A122" s="1">
        <v>43861</v>
      </c>
      <c r="B122">
        <v>5.9107500000000002</v>
      </c>
      <c r="C122">
        <f t="shared" si="7"/>
        <v>4.8023799405014682E-3</v>
      </c>
      <c r="D122">
        <v>170.23</v>
      </c>
      <c r="E122">
        <f t="shared" si="8"/>
        <v>7.945466074825619E-2</v>
      </c>
      <c r="F122">
        <v>77.377499999999998</v>
      </c>
      <c r="G122">
        <f t="shared" si="9"/>
        <v>5.4009875702366816E-2</v>
      </c>
      <c r="H122">
        <v>100.43600000000001</v>
      </c>
      <c r="I122">
        <f t="shared" si="10"/>
        <v>8.7063815048922105E-2</v>
      </c>
      <c r="J122">
        <v>148.87</v>
      </c>
      <c r="K122">
        <f t="shared" si="11"/>
        <v>2.0566257626653869E-2</v>
      </c>
      <c r="L122">
        <v>71.638999999999996</v>
      </c>
      <c r="M122">
        <f t="shared" si="12"/>
        <v>6.9725770686655864E-2</v>
      </c>
      <c r="N122">
        <v>58.4</v>
      </c>
      <c r="O122">
        <f t="shared" si="13"/>
        <v>5.5103884372177003E-2</v>
      </c>
      <c r="Q122">
        <v>4.8023799405014682E-3</v>
      </c>
      <c r="R122">
        <v>7.945466074825619E-2</v>
      </c>
      <c r="S122">
        <v>5.4009875702366816E-2</v>
      </c>
      <c r="T122">
        <v>8.7063815048922105E-2</v>
      </c>
      <c r="U122">
        <v>2.0566257626653869E-2</v>
      </c>
      <c r="V122">
        <v>6.9725770686655864E-2</v>
      </c>
      <c r="W122">
        <v>5.5103884372177003E-2</v>
      </c>
    </row>
    <row r="123" spans="1:23" x14ac:dyDescent="0.2">
      <c r="A123" s="1">
        <v>43889</v>
      </c>
      <c r="B123">
        <v>6.7517500000000004</v>
      </c>
      <c r="C123">
        <f t="shared" si="7"/>
        <v>0.14228312819862118</v>
      </c>
      <c r="D123">
        <v>162.01</v>
      </c>
      <c r="E123">
        <f t="shared" si="8"/>
        <v>-4.8287610879398458E-2</v>
      </c>
      <c r="F123">
        <v>68.34</v>
      </c>
      <c r="G123">
        <f t="shared" si="9"/>
        <v>-0.1167975186585247</v>
      </c>
      <c r="H123">
        <v>94.1875</v>
      </c>
      <c r="I123">
        <f t="shared" si="10"/>
        <v>-6.2213748058465156E-2</v>
      </c>
      <c r="J123">
        <v>134.47999999999999</v>
      </c>
      <c r="K123">
        <f t="shared" si="11"/>
        <v>-9.6661516759589006E-2</v>
      </c>
      <c r="L123">
        <v>66.962500000000006</v>
      </c>
      <c r="M123">
        <f t="shared" si="12"/>
        <v>-6.5278688982258137E-2</v>
      </c>
      <c r="N123">
        <v>53.49</v>
      </c>
      <c r="O123">
        <f t="shared" si="13"/>
        <v>-8.4075342465753364E-2</v>
      </c>
      <c r="Q123">
        <v>0.14228312819862118</v>
      </c>
      <c r="R123">
        <v>-4.8287610879398458E-2</v>
      </c>
      <c r="S123">
        <v>-0.1167975186585247</v>
      </c>
      <c r="T123">
        <v>-6.2213748058465156E-2</v>
      </c>
      <c r="U123">
        <v>-9.6661516759589006E-2</v>
      </c>
      <c r="V123">
        <v>-6.5278688982258137E-2</v>
      </c>
      <c r="W123">
        <v>-8.4075342465753364E-2</v>
      </c>
    </row>
    <row r="124" spans="1:23" x14ac:dyDescent="0.2">
      <c r="A124" s="1">
        <v>43921</v>
      </c>
      <c r="B124">
        <v>6.59</v>
      </c>
      <c r="C124">
        <f t="shared" si="7"/>
        <v>-2.3956751953197394E-2</v>
      </c>
      <c r="D124">
        <v>157.71</v>
      </c>
      <c r="E124">
        <f t="shared" si="8"/>
        <v>-2.6541571507931506E-2</v>
      </c>
      <c r="F124">
        <v>63.572499999999998</v>
      </c>
      <c r="G124">
        <f t="shared" si="9"/>
        <v>-6.9761486684226007E-2</v>
      </c>
      <c r="H124">
        <v>97.486000000000004</v>
      </c>
      <c r="I124">
        <f t="shared" si="10"/>
        <v>3.5020570670205753E-2</v>
      </c>
      <c r="J124">
        <v>131.13</v>
      </c>
      <c r="K124">
        <f t="shared" si="11"/>
        <v>-2.491076740035689E-2</v>
      </c>
      <c r="L124">
        <v>58.097499999999997</v>
      </c>
      <c r="M124">
        <f t="shared" si="12"/>
        <v>-0.13238753033414236</v>
      </c>
      <c r="N124">
        <v>44.25</v>
      </c>
      <c r="O124">
        <f t="shared" si="13"/>
        <v>-0.17274256870443078</v>
      </c>
      <c r="Q124">
        <v>-2.3956751953197394E-2</v>
      </c>
      <c r="R124">
        <v>-2.6541571507931506E-2</v>
      </c>
      <c r="S124">
        <v>-6.9761486684226007E-2</v>
      </c>
      <c r="T124">
        <v>3.5020570670205753E-2</v>
      </c>
      <c r="U124">
        <v>-2.491076740035689E-2</v>
      </c>
      <c r="V124">
        <v>-0.13238753033414236</v>
      </c>
      <c r="W124">
        <v>-0.17274256870443078</v>
      </c>
    </row>
    <row r="125" spans="1:23" x14ac:dyDescent="0.2">
      <c r="A125" s="1">
        <v>43951</v>
      </c>
      <c r="B125">
        <v>7.3070000000000004</v>
      </c>
      <c r="C125">
        <f t="shared" si="7"/>
        <v>0.10880121396054636</v>
      </c>
      <c r="D125">
        <v>179.21</v>
      </c>
      <c r="E125">
        <f t="shared" si="8"/>
        <v>0.13632616828355842</v>
      </c>
      <c r="F125">
        <v>73.45</v>
      </c>
      <c r="G125">
        <f t="shared" si="9"/>
        <v>0.15537378583507028</v>
      </c>
      <c r="H125">
        <v>123.7</v>
      </c>
      <c r="I125">
        <f t="shared" si="10"/>
        <v>0.26890014976509446</v>
      </c>
      <c r="J125">
        <v>150.04</v>
      </c>
      <c r="K125">
        <f t="shared" si="11"/>
        <v>0.14420803782505909</v>
      </c>
      <c r="L125">
        <v>67.334999999999994</v>
      </c>
      <c r="M125">
        <f t="shared" si="12"/>
        <v>0.15899995696888847</v>
      </c>
      <c r="N125">
        <v>45.89</v>
      </c>
      <c r="O125">
        <f t="shared" si="13"/>
        <v>3.7062146892655377E-2</v>
      </c>
      <c r="Q125">
        <v>0.10880121396054636</v>
      </c>
      <c r="R125">
        <v>0.13632616828355842</v>
      </c>
      <c r="S125">
        <v>0.15537378583507028</v>
      </c>
      <c r="T125">
        <v>0.26890014976509446</v>
      </c>
      <c r="U125">
        <v>0.14420803782505909</v>
      </c>
      <c r="V125">
        <v>0.15899995696888847</v>
      </c>
      <c r="W125">
        <v>3.7062146892655377E-2</v>
      </c>
    </row>
    <row r="126" spans="1:23" x14ac:dyDescent="0.2">
      <c r="A126" s="1">
        <v>43980</v>
      </c>
      <c r="B126">
        <v>8.8755000000000006</v>
      </c>
      <c r="C126">
        <f t="shared" si="7"/>
        <v>0.21465717804844672</v>
      </c>
      <c r="D126">
        <v>183.25</v>
      </c>
      <c r="E126">
        <f t="shared" si="8"/>
        <v>2.2543384855755771E-2</v>
      </c>
      <c r="F126">
        <v>79.484999999999999</v>
      </c>
      <c r="G126">
        <f t="shared" si="9"/>
        <v>8.2164737916950253E-2</v>
      </c>
      <c r="H126">
        <v>122.1185</v>
      </c>
      <c r="I126">
        <f t="shared" si="10"/>
        <v>-1.2784963621665363E-2</v>
      </c>
      <c r="J126">
        <v>148.75</v>
      </c>
      <c r="K126">
        <f t="shared" si="11"/>
        <v>-8.5977072780591308E-3</v>
      </c>
      <c r="L126">
        <v>71.676000000000002</v>
      </c>
      <c r="M126">
        <f t="shared" si="12"/>
        <v>6.4468701269770681E-2</v>
      </c>
      <c r="N126">
        <v>46.68</v>
      </c>
      <c r="O126">
        <f t="shared" si="13"/>
        <v>1.7215079538025695E-2</v>
      </c>
      <c r="Q126">
        <v>0.21465717804844672</v>
      </c>
      <c r="R126">
        <v>2.2543384855755771E-2</v>
      </c>
      <c r="S126">
        <v>8.2164737916950253E-2</v>
      </c>
      <c r="T126">
        <v>-1.2784963621665363E-2</v>
      </c>
      <c r="U126">
        <v>-8.5977072780591308E-3</v>
      </c>
      <c r="V126">
        <v>6.4468701269770681E-2</v>
      </c>
      <c r="W126">
        <v>1.7215079538025695E-2</v>
      </c>
    </row>
    <row r="127" spans="1:23" x14ac:dyDescent="0.2">
      <c r="A127" s="1">
        <v>44012</v>
      </c>
      <c r="B127">
        <v>9.4977499999999999</v>
      </c>
      <c r="C127">
        <f t="shared" si="7"/>
        <v>7.0108726268942517E-2</v>
      </c>
      <c r="D127">
        <v>203.51</v>
      </c>
      <c r="E127">
        <f t="shared" si="8"/>
        <v>0.11055934515688945</v>
      </c>
      <c r="F127">
        <v>91.2</v>
      </c>
      <c r="G127">
        <f t="shared" si="9"/>
        <v>0.14738629930175509</v>
      </c>
      <c r="H127">
        <v>137.941</v>
      </c>
      <c r="I127">
        <f t="shared" si="10"/>
        <v>0.12956677325712324</v>
      </c>
      <c r="J127">
        <v>140.63</v>
      </c>
      <c r="K127">
        <f t="shared" si="11"/>
        <v>-5.458823529411768E-2</v>
      </c>
      <c r="L127">
        <v>70.902500000000003</v>
      </c>
      <c r="M127">
        <f t="shared" si="12"/>
        <v>-1.0791617835816709E-2</v>
      </c>
      <c r="N127">
        <v>44.68</v>
      </c>
      <c r="O127">
        <f t="shared" si="13"/>
        <v>-4.2844901456726647E-2</v>
      </c>
      <c r="Q127">
        <v>7.0108726268942517E-2</v>
      </c>
      <c r="R127">
        <v>0.11055934515688945</v>
      </c>
      <c r="S127">
        <v>0.14738629930175509</v>
      </c>
      <c r="T127">
        <v>0.12956677325712324</v>
      </c>
      <c r="U127">
        <v>-5.458823529411768E-2</v>
      </c>
      <c r="V127">
        <v>-1.0791617835816709E-2</v>
      </c>
      <c r="W127">
        <v>-4.2844901456726647E-2</v>
      </c>
    </row>
    <row r="128" spans="1:23" x14ac:dyDescent="0.2">
      <c r="A128" s="1">
        <v>44043</v>
      </c>
      <c r="B128">
        <v>10.614750000000001</v>
      </c>
      <c r="C128">
        <f t="shared" si="7"/>
        <v>0.11760680161090795</v>
      </c>
      <c r="D128">
        <v>205.01</v>
      </c>
      <c r="E128">
        <f t="shared" si="8"/>
        <v>7.3706451771411727E-3</v>
      </c>
      <c r="F128">
        <v>106.26</v>
      </c>
      <c r="G128">
        <f t="shared" si="9"/>
        <v>0.16513157894736843</v>
      </c>
      <c r="H128">
        <v>158.23400000000001</v>
      </c>
      <c r="I128">
        <f t="shared" si="10"/>
        <v>0.14711362104087983</v>
      </c>
      <c r="J128">
        <v>145.76</v>
      </c>
      <c r="K128">
        <f t="shared" si="11"/>
        <v>3.6478702979449586E-2</v>
      </c>
      <c r="L128">
        <v>74.397499999999994</v>
      </c>
      <c r="M128">
        <f t="shared" si="12"/>
        <v>4.9293043263636545E-2</v>
      </c>
      <c r="N128">
        <v>47.24</v>
      </c>
      <c r="O128">
        <f t="shared" si="13"/>
        <v>5.7296329453894408E-2</v>
      </c>
      <c r="Q128">
        <v>0.11760680161090795</v>
      </c>
      <c r="R128">
        <v>7.3706451771411727E-3</v>
      </c>
      <c r="S128">
        <v>0.16513157894736843</v>
      </c>
      <c r="T128">
        <v>0.14711362104087983</v>
      </c>
      <c r="U128">
        <v>3.6478702979449586E-2</v>
      </c>
      <c r="V128">
        <v>4.9293043263636545E-2</v>
      </c>
      <c r="W128">
        <v>5.7296329453894408E-2</v>
      </c>
    </row>
    <row r="129" spans="1:23" x14ac:dyDescent="0.2">
      <c r="A129" s="1">
        <v>44074</v>
      </c>
      <c r="B129">
        <v>13.374499999999999</v>
      </c>
      <c r="C129">
        <f t="shared" si="7"/>
        <v>0.25999199227490033</v>
      </c>
      <c r="D129">
        <v>225.53</v>
      </c>
      <c r="E129">
        <f t="shared" si="8"/>
        <v>0.10009267840593147</v>
      </c>
      <c r="F129">
        <v>129.04</v>
      </c>
      <c r="G129">
        <f t="shared" si="9"/>
        <v>0.21437982307547512</v>
      </c>
      <c r="H129">
        <v>172.548</v>
      </c>
      <c r="I129">
        <f t="shared" si="10"/>
        <v>9.0460962877763257E-2</v>
      </c>
      <c r="J129">
        <v>153.41</v>
      </c>
      <c r="K129">
        <f t="shared" si="11"/>
        <v>5.2483534577387532E-2</v>
      </c>
      <c r="L129">
        <v>81.476500000000001</v>
      </c>
      <c r="M129">
        <f t="shared" si="12"/>
        <v>9.515104674216214E-2</v>
      </c>
      <c r="N129">
        <v>49.53</v>
      </c>
      <c r="O129">
        <f t="shared" si="13"/>
        <v>4.8475867908552052E-2</v>
      </c>
      <c r="Q129">
        <v>0.25999199227490033</v>
      </c>
      <c r="R129">
        <v>0.10009267840593147</v>
      </c>
      <c r="S129">
        <v>0.21437982307547512</v>
      </c>
      <c r="T129">
        <v>9.0460962877763257E-2</v>
      </c>
      <c r="U129">
        <v>5.2483534577387532E-2</v>
      </c>
      <c r="V129">
        <v>9.515104674216214E-2</v>
      </c>
      <c r="W129">
        <v>4.8475867908552052E-2</v>
      </c>
    </row>
    <row r="130" spans="1:23" x14ac:dyDescent="0.2">
      <c r="A130" s="1">
        <v>44104</v>
      </c>
      <c r="B130">
        <v>13.5305</v>
      </c>
      <c r="C130">
        <f t="shared" si="7"/>
        <v>1.1663987438782802E-2</v>
      </c>
      <c r="D130">
        <v>210.33</v>
      </c>
      <c r="E130">
        <f t="shared" si="8"/>
        <v>-6.739679865206398E-2</v>
      </c>
      <c r="F130">
        <v>115.81</v>
      </c>
      <c r="G130">
        <f t="shared" si="9"/>
        <v>-0.10252634841909478</v>
      </c>
      <c r="H130">
        <v>157.4365</v>
      </c>
      <c r="I130">
        <f t="shared" si="10"/>
        <v>-8.75785288731252E-2</v>
      </c>
      <c r="J130">
        <v>148.88</v>
      </c>
      <c r="K130">
        <f t="shared" si="11"/>
        <v>-2.9528713903917616E-2</v>
      </c>
      <c r="L130">
        <v>73.28</v>
      </c>
      <c r="M130">
        <f t="shared" si="12"/>
        <v>-0.10059955938215313</v>
      </c>
      <c r="N130">
        <v>49.37</v>
      </c>
      <c r="O130">
        <f t="shared" si="13"/>
        <v>-3.2303654350899192E-3</v>
      </c>
      <c r="Q130">
        <v>1.1663987438782802E-2</v>
      </c>
      <c r="R130">
        <v>-6.739679865206398E-2</v>
      </c>
      <c r="S130">
        <v>-0.10252634841909478</v>
      </c>
      <c r="T130">
        <v>-8.75785288731252E-2</v>
      </c>
      <c r="U130">
        <v>-2.9528713903917616E-2</v>
      </c>
      <c r="V130">
        <v>-0.10059955938215313</v>
      </c>
      <c r="W130">
        <v>-3.2303654350899192E-3</v>
      </c>
    </row>
    <row r="131" spans="1:23" x14ac:dyDescent="0.2">
      <c r="A131" s="1">
        <v>44134</v>
      </c>
      <c r="B131">
        <v>12.534000000000001</v>
      </c>
      <c r="C131">
        <f t="shared" si="7"/>
        <v>-7.3648423931118534E-2</v>
      </c>
      <c r="D131">
        <v>202.47</v>
      </c>
      <c r="E131">
        <f t="shared" si="8"/>
        <v>-3.7369847382684417E-2</v>
      </c>
      <c r="F131">
        <v>108.86</v>
      </c>
      <c r="G131">
        <f t="shared" si="9"/>
        <v>-6.0012088766082397E-2</v>
      </c>
      <c r="H131">
        <v>151.8075</v>
      </c>
      <c r="I131">
        <f t="shared" si="10"/>
        <v>-3.5754097683828027E-2</v>
      </c>
      <c r="J131">
        <v>137.11000000000001</v>
      </c>
      <c r="K131">
        <f t="shared" si="11"/>
        <v>-7.9056958624395365E-2</v>
      </c>
      <c r="L131">
        <v>80.805499999999995</v>
      </c>
      <c r="M131">
        <f t="shared" si="12"/>
        <v>0.1026951419213973</v>
      </c>
      <c r="N131">
        <v>48.06</v>
      </c>
      <c r="O131">
        <f t="shared" si="13"/>
        <v>-2.6534332590641994E-2</v>
      </c>
      <c r="Q131">
        <v>-7.3648423931118534E-2</v>
      </c>
      <c r="R131">
        <v>-3.7369847382684417E-2</v>
      </c>
      <c r="S131">
        <v>-6.0012088766082397E-2</v>
      </c>
      <c r="T131">
        <v>-3.5754097683828027E-2</v>
      </c>
      <c r="U131">
        <v>-7.9056958624395365E-2</v>
      </c>
      <c r="V131">
        <v>0.1026951419213973</v>
      </c>
      <c r="W131">
        <v>-2.6534332590641994E-2</v>
      </c>
    </row>
    <row r="132" spans="1:23" x14ac:dyDescent="0.2">
      <c r="A132" s="1">
        <v>44165</v>
      </c>
      <c r="B132">
        <v>13.4015</v>
      </c>
      <c r="C132">
        <f t="shared" ref="C132:C188" si="14">(B132-B131)/B131</f>
        <v>6.9211744056167201E-2</v>
      </c>
      <c r="D132">
        <v>214.07</v>
      </c>
      <c r="E132">
        <f t="shared" ref="E132:E188" si="15">(D132-D131)/D131</f>
        <v>5.7292438385933689E-2</v>
      </c>
      <c r="F132">
        <v>119.05</v>
      </c>
      <c r="G132">
        <f t="shared" ref="G132:G188" si="16">(F132-F131)/F131</f>
        <v>9.3606467021862927E-2</v>
      </c>
      <c r="H132">
        <v>158.40199999999999</v>
      </c>
      <c r="I132">
        <f t="shared" ref="I132:I188" si="17">(H132-H131)/H131</f>
        <v>4.3439882746241013E-2</v>
      </c>
      <c r="J132">
        <v>144.68</v>
      </c>
      <c r="K132">
        <f t="shared" ref="K132:K188" si="18">(J132-J131)/J131</f>
        <v>5.5211144336663937E-2</v>
      </c>
      <c r="L132">
        <v>87.72</v>
      </c>
      <c r="M132">
        <f t="shared" ref="M132:M188" si="19">(L132-L131)/L131</f>
        <v>8.5569670381347857E-2</v>
      </c>
      <c r="N132">
        <v>51.6</v>
      </c>
      <c r="O132">
        <f t="shared" ref="O132:O188" si="20">(N132-N131)/N131</f>
        <v>7.3657927590511846E-2</v>
      </c>
      <c r="Q132">
        <v>6.9211744056167201E-2</v>
      </c>
      <c r="R132">
        <v>5.7292438385933689E-2</v>
      </c>
      <c r="S132">
        <v>9.3606467021862927E-2</v>
      </c>
      <c r="T132">
        <v>4.3439882746241013E-2</v>
      </c>
      <c r="U132">
        <v>5.5211144336663937E-2</v>
      </c>
      <c r="V132">
        <v>8.5569670381347857E-2</v>
      </c>
      <c r="W132">
        <v>7.3657927590511846E-2</v>
      </c>
    </row>
    <row r="133" spans="1:23" x14ac:dyDescent="0.2">
      <c r="A133" s="1">
        <v>44196</v>
      </c>
      <c r="B133">
        <v>13.055</v>
      </c>
      <c r="C133">
        <f t="shared" si="14"/>
        <v>-2.5855314703578009E-2</v>
      </c>
      <c r="D133">
        <v>222.42</v>
      </c>
      <c r="E133">
        <f t="shared" si="15"/>
        <v>3.9005932638856426E-2</v>
      </c>
      <c r="F133">
        <v>132.69</v>
      </c>
      <c r="G133">
        <f t="shared" si="16"/>
        <v>0.11457370852582949</v>
      </c>
      <c r="H133">
        <v>162.84649999999999</v>
      </c>
      <c r="I133">
        <f t="shared" si="17"/>
        <v>2.8058357849017092E-2</v>
      </c>
      <c r="J133">
        <v>157.38</v>
      </c>
      <c r="K133">
        <f t="shared" si="18"/>
        <v>8.777992811722414E-2</v>
      </c>
      <c r="L133">
        <v>87.632000000000005</v>
      </c>
      <c r="M133">
        <f t="shared" si="19"/>
        <v>-1.0031919744641342E-3</v>
      </c>
      <c r="N133">
        <v>54.84</v>
      </c>
      <c r="O133">
        <f t="shared" si="20"/>
        <v>6.2790697674418638E-2</v>
      </c>
      <c r="Q133">
        <v>-2.5855314703578009E-2</v>
      </c>
      <c r="R133">
        <v>3.9005932638856426E-2</v>
      </c>
      <c r="S133">
        <v>0.11457370852582949</v>
      </c>
      <c r="T133">
        <v>2.8058357849017092E-2</v>
      </c>
      <c r="U133">
        <v>8.777992811722414E-2</v>
      </c>
      <c r="V133">
        <v>-1.0031919744641342E-3</v>
      </c>
      <c r="W133">
        <v>6.2790697674418638E-2</v>
      </c>
    </row>
    <row r="134" spans="1:23" x14ac:dyDescent="0.2">
      <c r="A134" s="1">
        <v>44225</v>
      </c>
      <c r="B134">
        <v>12.989750000000001</v>
      </c>
      <c r="C134">
        <f t="shared" si="14"/>
        <v>-4.9980850248945935E-3</v>
      </c>
      <c r="D134">
        <v>231.96</v>
      </c>
      <c r="E134">
        <f t="shared" si="15"/>
        <v>4.2891826274615685E-2</v>
      </c>
      <c r="F134">
        <v>131.96</v>
      </c>
      <c r="G134">
        <f t="shared" si="16"/>
        <v>-5.5015449544049272E-3</v>
      </c>
      <c r="H134">
        <v>160.31</v>
      </c>
      <c r="I134">
        <f t="shared" si="17"/>
        <v>-1.5576017906433296E-2</v>
      </c>
      <c r="J134">
        <v>163.13</v>
      </c>
      <c r="K134">
        <f t="shared" si="18"/>
        <v>3.6535773287584193E-2</v>
      </c>
      <c r="L134">
        <v>91.367999999999995</v>
      </c>
      <c r="M134">
        <f t="shared" si="19"/>
        <v>4.2632828190615181E-2</v>
      </c>
      <c r="N134">
        <v>48.15</v>
      </c>
      <c r="O134">
        <f t="shared" si="20"/>
        <v>-0.12199124726477033</v>
      </c>
      <c r="Q134">
        <v>-4.9980850248945935E-3</v>
      </c>
      <c r="R134">
        <v>4.2891826274615685E-2</v>
      </c>
      <c r="S134">
        <v>-5.5015449544049272E-3</v>
      </c>
      <c r="T134">
        <v>-1.5576017906433296E-2</v>
      </c>
      <c r="U134">
        <v>3.6535773287584193E-2</v>
      </c>
      <c r="V134">
        <v>4.2632828190615181E-2</v>
      </c>
      <c r="W134">
        <v>-0.12199124726477033</v>
      </c>
    </row>
    <row r="135" spans="1:23" x14ac:dyDescent="0.2">
      <c r="A135" s="1">
        <v>44253</v>
      </c>
      <c r="B135">
        <v>13.714499999999999</v>
      </c>
      <c r="C135">
        <f t="shared" si="14"/>
        <v>5.5793991416308891E-2</v>
      </c>
      <c r="D135">
        <v>232.38</v>
      </c>
      <c r="E135">
        <f t="shared" si="15"/>
        <v>1.8106570098292269E-3</v>
      </c>
      <c r="F135">
        <v>121.26</v>
      </c>
      <c r="G135">
        <f t="shared" si="16"/>
        <v>-8.1085177326462587E-2</v>
      </c>
      <c r="H135">
        <v>154.6465</v>
      </c>
      <c r="I135">
        <f t="shared" si="17"/>
        <v>-3.532842617428731E-2</v>
      </c>
      <c r="J135">
        <v>158.46</v>
      </c>
      <c r="K135">
        <f t="shared" si="18"/>
        <v>-2.8627475019922684E-2</v>
      </c>
      <c r="L135">
        <v>101.0955</v>
      </c>
      <c r="M135">
        <f t="shared" si="19"/>
        <v>0.10646506435513535</v>
      </c>
      <c r="N135">
        <v>48.99</v>
      </c>
      <c r="O135">
        <f t="shared" si="20"/>
        <v>1.7445482866043686E-2</v>
      </c>
      <c r="Q135">
        <v>5.5793991416308891E-2</v>
      </c>
      <c r="R135">
        <v>1.8106570098292269E-3</v>
      </c>
      <c r="S135">
        <v>-8.1085177326462587E-2</v>
      </c>
      <c r="T135">
        <v>-3.532842617428731E-2</v>
      </c>
      <c r="U135">
        <v>-2.8627475019922684E-2</v>
      </c>
      <c r="V135">
        <v>0.10646506435513535</v>
      </c>
      <c r="W135">
        <v>1.7445482866043686E-2</v>
      </c>
    </row>
    <row r="136" spans="1:23" x14ac:dyDescent="0.2">
      <c r="A136" s="1">
        <v>44286</v>
      </c>
      <c r="B136">
        <v>13.34825</v>
      </c>
      <c r="C136">
        <f t="shared" si="14"/>
        <v>-2.6705311896168222E-2</v>
      </c>
      <c r="D136">
        <v>235.77</v>
      </c>
      <c r="E136">
        <f t="shared" si="15"/>
        <v>1.4588174541699006E-2</v>
      </c>
      <c r="F136">
        <v>122.15</v>
      </c>
      <c r="G136">
        <f t="shared" si="16"/>
        <v>7.3396008576612284E-3</v>
      </c>
      <c r="H136">
        <v>154.70400000000001</v>
      </c>
      <c r="I136">
        <f t="shared" si="17"/>
        <v>3.7181572166201335E-4</v>
      </c>
      <c r="J136">
        <v>164.35</v>
      </c>
      <c r="K136">
        <f t="shared" si="18"/>
        <v>3.717026378896874E-2</v>
      </c>
      <c r="L136">
        <v>103.126</v>
      </c>
      <c r="M136">
        <f t="shared" si="19"/>
        <v>2.0084969162821327E-2</v>
      </c>
      <c r="N136">
        <v>52.71</v>
      </c>
      <c r="O136">
        <f t="shared" si="20"/>
        <v>7.5933864053888522E-2</v>
      </c>
      <c r="Q136">
        <v>-2.6705311896168222E-2</v>
      </c>
      <c r="R136">
        <v>1.4588174541699006E-2</v>
      </c>
      <c r="S136">
        <v>7.3396008576612284E-3</v>
      </c>
      <c r="T136">
        <v>3.7181572166201335E-4</v>
      </c>
      <c r="U136">
        <v>3.717026378896874E-2</v>
      </c>
      <c r="V136">
        <v>2.0084969162821327E-2</v>
      </c>
      <c r="W136">
        <v>7.5933864053888522E-2</v>
      </c>
    </row>
    <row r="137" spans="1:23" x14ac:dyDescent="0.2">
      <c r="A137" s="1">
        <v>44316</v>
      </c>
      <c r="B137">
        <v>15.009499999999999</v>
      </c>
      <c r="C137">
        <f t="shared" si="14"/>
        <v>0.12445451650965475</v>
      </c>
      <c r="D137">
        <v>252.18</v>
      </c>
      <c r="E137">
        <f t="shared" si="15"/>
        <v>6.9601730500063602E-2</v>
      </c>
      <c r="F137">
        <v>131.46</v>
      </c>
      <c r="G137">
        <f t="shared" si="16"/>
        <v>7.621776504297996E-2</v>
      </c>
      <c r="H137">
        <v>173.37100000000001</v>
      </c>
      <c r="I137">
        <f t="shared" si="17"/>
        <v>0.12066268486916952</v>
      </c>
      <c r="J137">
        <v>162.72999999999999</v>
      </c>
      <c r="K137">
        <f t="shared" si="18"/>
        <v>-9.8570124733800106E-3</v>
      </c>
      <c r="L137">
        <v>117.675</v>
      </c>
      <c r="M137">
        <f t="shared" si="19"/>
        <v>0.14107984407423921</v>
      </c>
      <c r="N137">
        <v>53.98</v>
      </c>
      <c r="O137">
        <f t="shared" si="20"/>
        <v>2.4094099791310872E-2</v>
      </c>
      <c r="Q137">
        <v>0.12445451650965475</v>
      </c>
      <c r="R137">
        <v>6.9601730500063602E-2</v>
      </c>
      <c r="S137">
        <v>7.621776504297996E-2</v>
      </c>
      <c r="T137">
        <v>0.12066268486916952</v>
      </c>
      <c r="U137">
        <v>-9.8570124733800106E-3</v>
      </c>
      <c r="V137">
        <v>0.14107984407423921</v>
      </c>
      <c r="W137">
        <v>2.4094099791310872E-2</v>
      </c>
    </row>
    <row r="138" spans="1:23" x14ac:dyDescent="0.2">
      <c r="A138" s="1">
        <v>44344</v>
      </c>
      <c r="B138">
        <v>16.244499999999999</v>
      </c>
      <c r="C138">
        <f t="shared" si="14"/>
        <v>8.2281221892801196E-2</v>
      </c>
      <c r="D138">
        <v>249.68</v>
      </c>
      <c r="E138">
        <f t="shared" si="15"/>
        <v>-9.913553810770085E-3</v>
      </c>
      <c r="F138">
        <v>124.61</v>
      </c>
      <c r="G138">
        <f t="shared" si="16"/>
        <v>-5.2107104822759834E-2</v>
      </c>
      <c r="H138">
        <v>161.15350000000001</v>
      </c>
      <c r="I138">
        <f t="shared" si="17"/>
        <v>-7.0470263192806179E-2</v>
      </c>
      <c r="J138">
        <v>169.25</v>
      </c>
      <c r="K138">
        <f t="shared" si="18"/>
        <v>4.0066367602777674E-2</v>
      </c>
      <c r="L138">
        <v>117.8425</v>
      </c>
      <c r="M138">
        <f t="shared" si="19"/>
        <v>1.4234119396643635E-3</v>
      </c>
      <c r="N138">
        <v>55.29</v>
      </c>
      <c r="O138">
        <f t="shared" si="20"/>
        <v>2.4268247499073775E-2</v>
      </c>
      <c r="Q138">
        <v>8.2281221892801196E-2</v>
      </c>
      <c r="R138">
        <v>-9.913553810770085E-3</v>
      </c>
      <c r="S138">
        <v>-5.2107104822759834E-2</v>
      </c>
      <c r="T138">
        <v>-7.0470263192806179E-2</v>
      </c>
      <c r="U138">
        <v>4.0066367602777674E-2</v>
      </c>
      <c r="V138">
        <v>1.4234119396643635E-3</v>
      </c>
      <c r="W138">
        <v>2.4268247499073775E-2</v>
      </c>
    </row>
    <row r="139" spans="1:23" x14ac:dyDescent="0.2">
      <c r="A139" s="1">
        <v>44377</v>
      </c>
      <c r="B139">
        <v>20.002500000000001</v>
      </c>
      <c r="C139">
        <f t="shared" si="14"/>
        <v>0.23133983809904909</v>
      </c>
      <c r="D139">
        <v>270.89999999999998</v>
      </c>
      <c r="E139">
        <f t="shared" si="15"/>
        <v>8.4988785645626286E-2</v>
      </c>
      <c r="F139">
        <v>136.96</v>
      </c>
      <c r="G139">
        <f t="shared" si="16"/>
        <v>9.9109220768798717E-2</v>
      </c>
      <c r="H139">
        <v>172.00800000000001</v>
      </c>
      <c r="I139">
        <f t="shared" si="17"/>
        <v>6.7355037278123045E-2</v>
      </c>
      <c r="J139">
        <v>164.74</v>
      </c>
      <c r="K139">
        <f t="shared" si="18"/>
        <v>-2.664697193500733E-2</v>
      </c>
      <c r="L139">
        <v>122.0895</v>
      </c>
      <c r="M139">
        <f t="shared" si="19"/>
        <v>3.6039629166047901E-2</v>
      </c>
      <c r="N139">
        <v>54.11</v>
      </c>
      <c r="O139">
        <f t="shared" si="20"/>
        <v>-2.1342014830891657E-2</v>
      </c>
      <c r="Q139">
        <v>0.23133983809904909</v>
      </c>
      <c r="R139">
        <v>8.4988785645626286E-2</v>
      </c>
      <c r="S139">
        <v>9.9109220768798717E-2</v>
      </c>
      <c r="T139">
        <v>6.7355037278123045E-2</v>
      </c>
      <c r="U139">
        <v>-2.664697193500733E-2</v>
      </c>
      <c r="V139">
        <v>3.6039629166047901E-2</v>
      </c>
      <c r="W139">
        <v>-2.1342014830891657E-2</v>
      </c>
    </row>
    <row r="140" spans="1:23" x14ac:dyDescent="0.2">
      <c r="A140" s="1">
        <v>44407</v>
      </c>
      <c r="B140">
        <v>19.498999999999999</v>
      </c>
      <c r="C140">
        <f t="shared" si="14"/>
        <v>-2.5171853518310333E-2</v>
      </c>
      <c r="D140">
        <v>284.91000000000003</v>
      </c>
      <c r="E140">
        <f t="shared" si="15"/>
        <v>5.1716500553710035E-2</v>
      </c>
      <c r="F140">
        <v>145.86000000000001</v>
      </c>
      <c r="G140">
        <f t="shared" si="16"/>
        <v>6.4982476635514055E-2</v>
      </c>
      <c r="H140">
        <v>166.37950000000001</v>
      </c>
      <c r="I140">
        <f t="shared" si="17"/>
        <v>-3.2722315241151587E-2</v>
      </c>
      <c r="J140">
        <v>172.2</v>
      </c>
      <c r="K140">
        <f t="shared" si="18"/>
        <v>4.5283476994051108E-2</v>
      </c>
      <c r="L140">
        <v>134.72649999999999</v>
      </c>
      <c r="M140">
        <f t="shared" si="19"/>
        <v>0.10350603450747187</v>
      </c>
      <c r="N140">
        <v>57.03</v>
      </c>
      <c r="O140">
        <f t="shared" si="20"/>
        <v>5.3964147107743519E-2</v>
      </c>
      <c r="Q140">
        <v>-2.5171853518310333E-2</v>
      </c>
      <c r="R140">
        <v>5.1716500553710035E-2</v>
      </c>
      <c r="S140">
        <v>6.4982476635514055E-2</v>
      </c>
      <c r="T140">
        <v>-3.2722315241151587E-2</v>
      </c>
      <c r="U140">
        <v>4.5283476994051108E-2</v>
      </c>
      <c r="V140">
        <v>0.10350603450747187</v>
      </c>
      <c r="W140">
        <v>5.3964147107743519E-2</v>
      </c>
    </row>
    <row r="141" spans="1:23" x14ac:dyDescent="0.2">
      <c r="A141" s="1">
        <v>44439</v>
      </c>
      <c r="B141">
        <v>22.385000000000002</v>
      </c>
      <c r="C141">
        <f t="shared" si="14"/>
        <v>0.14800759013282747</v>
      </c>
      <c r="D141">
        <v>301.88</v>
      </c>
      <c r="E141">
        <f t="shared" si="15"/>
        <v>5.9562668912989961E-2</v>
      </c>
      <c r="F141">
        <v>151.83000000000001</v>
      </c>
      <c r="G141">
        <f t="shared" si="16"/>
        <v>4.092965857671739E-2</v>
      </c>
      <c r="H141">
        <v>173.5395</v>
      </c>
      <c r="I141">
        <f t="shared" si="17"/>
        <v>4.3034147836722651E-2</v>
      </c>
      <c r="J141">
        <v>173.13</v>
      </c>
      <c r="K141">
        <f t="shared" si="18"/>
        <v>5.4006968641115384E-3</v>
      </c>
      <c r="L141">
        <v>144.69749999999999</v>
      </c>
      <c r="M141">
        <f t="shared" si="19"/>
        <v>7.4009196409021274E-2</v>
      </c>
      <c r="N141">
        <v>56.31</v>
      </c>
      <c r="O141">
        <f t="shared" si="20"/>
        <v>-1.262493424513412E-2</v>
      </c>
      <c r="Q141">
        <v>0.14800759013282747</v>
      </c>
      <c r="R141">
        <v>5.9562668912989961E-2</v>
      </c>
      <c r="S141">
        <v>4.092965857671739E-2</v>
      </c>
      <c r="T141">
        <v>4.3034147836722651E-2</v>
      </c>
      <c r="U141">
        <v>5.4006968641115384E-3</v>
      </c>
      <c r="V141">
        <v>7.4009196409021274E-2</v>
      </c>
      <c r="W141">
        <v>-1.262493424513412E-2</v>
      </c>
    </row>
    <row r="142" spans="1:23" x14ac:dyDescent="0.2">
      <c r="A142" s="1">
        <v>44469</v>
      </c>
      <c r="B142">
        <v>20.716000000000001</v>
      </c>
      <c r="C142">
        <f t="shared" si="14"/>
        <v>-7.4558856377038213E-2</v>
      </c>
      <c r="D142">
        <v>281.92</v>
      </c>
      <c r="E142">
        <f t="shared" si="15"/>
        <v>-6.6118987677222671E-2</v>
      </c>
      <c r="F142">
        <v>141.5</v>
      </c>
      <c r="G142">
        <f t="shared" si="16"/>
        <v>-6.8036619903839898E-2</v>
      </c>
      <c r="H142">
        <v>164.25200000000001</v>
      </c>
      <c r="I142">
        <f t="shared" si="17"/>
        <v>-5.3518075135631914E-2</v>
      </c>
      <c r="J142">
        <v>161.5</v>
      </c>
      <c r="K142">
        <f t="shared" si="18"/>
        <v>-6.7174955235949838E-2</v>
      </c>
      <c r="L142">
        <v>133.67599999999999</v>
      </c>
      <c r="M142">
        <f t="shared" si="19"/>
        <v>-7.6169249641493492E-2</v>
      </c>
      <c r="N142">
        <v>52.47</v>
      </c>
      <c r="O142">
        <f t="shared" si="20"/>
        <v>-6.8193926478423067E-2</v>
      </c>
      <c r="Q142">
        <v>-7.4558856377038213E-2</v>
      </c>
      <c r="R142">
        <v>-6.6118987677222671E-2</v>
      </c>
      <c r="S142">
        <v>-6.8036619903839898E-2</v>
      </c>
      <c r="T142">
        <v>-5.3518075135631914E-2</v>
      </c>
      <c r="U142">
        <v>-6.7174955235949838E-2</v>
      </c>
      <c r="V142">
        <v>-7.6169249641493492E-2</v>
      </c>
      <c r="W142">
        <v>-6.8193926478423067E-2</v>
      </c>
    </row>
    <row r="143" spans="1:23" x14ac:dyDescent="0.2">
      <c r="A143" s="1">
        <v>44498</v>
      </c>
      <c r="B143">
        <v>25.567</v>
      </c>
      <c r="C143">
        <f t="shared" si="14"/>
        <v>0.23416682757289045</v>
      </c>
      <c r="D143">
        <v>331.62</v>
      </c>
      <c r="E143">
        <f t="shared" si="15"/>
        <v>0.17629114642451754</v>
      </c>
      <c r="F143">
        <v>149.80000000000001</v>
      </c>
      <c r="G143">
        <f t="shared" si="16"/>
        <v>5.8657243816254499E-2</v>
      </c>
      <c r="H143">
        <v>168.6215</v>
      </c>
      <c r="I143">
        <f t="shared" si="17"/>
        <v>2.660241580011195E-2</v>
      </c>
      <c r="J143">
        <v>162.88</v>
      </c>
      <c r="K143">
        <f t="shared" si="18"/>
        <v>8.5448916408668446E-3</v>
      </c>
      <c r="L143">
        <v>148.04599999999999</v>
      </c>
      <c r="M143">
        <f t="shared" si="19"/>
        <v>0.10749872826835039</v>
      </c>
      <c r="N143">
        <v>56.37</v>
      </c>
      <c r="O143">
        <f t="shared" si="20"/>
        <v>7.4328187535734683E-2</v>
      </c>
      <c r="Q143">
        <v>0.23416682757289045</v>
      </c>
      <c r="R143">
        <v>0.17629114642451754</v>
      </c>
      <c r="S143">
        <v>5.8657243816254499E-2</v>
      </c>
      <c r="T143">
        <v>2.660241580011195E-2</v>
      </c>
      <c r="U143">
        <v>8.5448916408668446E-3</v>
      </c>
      <c r="V143">
        <v>0.10749872826835039</v>
      </c>
      <c r="W143">
        <v>7.4328187535734683E-2</v>
      </c>
    </row>
    <row r="144" spans="1:23" x14ac:dyDescent="0.2">
      <c r="A144" s="1">
        <v>44530</v>
      </c>
      <c r="B144">
        <v>32.676000000000002</v>
      </c>
      <c r="C144">
        <f t="shared" si="14"/>
        <v>0.27805374115070214</v>
      </c>
      <c r="D144">
        <v>330.59</v>
      </c>
      <c r="E144">
        <f t="shared" si="15"/>
        <v>-3.1059646583439767E-3</v>
      </c>
      <c r="F144">
        <v>165.3</v>
      </c>
      <c r="G144">
        <f t="shared" si="16"/>
        <v>0.1034712950600801</v>
      </c>
      <c r="H144">
        <v>175.3535</v>
      </c>
      <c r="I144">
        <f t="shared" si="17"/>
        <v>3.9923734517840245E-2</v>
      </c>
      <c r="J144">
        <v>155.93</v>
      </c>
      <c r="K144">
        <f t="shared" si="18"/>
        <v>-4.2669449901768103E-2</v>
      </c>
      <c r="L144">
        <v>141.89750000000001</v>
      </c>
      <c r="M144">
        <f t="shared" si="19"/>
        <v>-4.1531010631830546E-2</v>
      </c>
      <c r="N144">
        <v>52.45</v>
      </c>
      <c r="O144">
        <f t="shared" si="20"/>
        <v>-6.9540535745964069E-2</v>
      </c>
      <c r="Q144">
        <v>0.27805374115070214</v>
      </c>
      <c r="R144">
        <v>-3.1059646583439767E-3</v>
      </c>
      <c r="S144">
        <v>0.1034712950600801</v>
      </c>
      <c r="T144">
        <v>3.9923734517840245E-2</v>
      </c>
      <c r="U144">
        <v>-4.2669449901768103E-2</v>
      </c>
      <c r="V144">
        <v>-4.1531010631830546E-2</v>
      </c>
      <c r="W144">
        <v>-6.9540535745964069E-2</v>
      </c>
    </row>
    <row r="145" spans="1:23" x14ac:dyDescent="0.2">
      <c r="A145" s="1">
        <v>44561</v>
      </c>
      <c r="B145">
        <v>29.411000000000001</v>
      </c>
      <c r="C145">
        <f t="shared" si="14"/>
        <v>-9.992043089729466E-2</v>
      </c>
      <c r="D145">
        <v>336.32</v>
      </c>
      <c r="E145">
        <f t="shared" si="15"/>
        <v>1.7332647690492812E-2</v>
      </c>
      <c r="F145">
        <v>177.57</v>
      </c>
      <c r="G145">
        <f t="shared" si="16"/>
        <v>7.4228675136116043E-2</v>
      </c>
      <c r="H145">
        <v>166.71700000000001</v>
      </c>
      <c r="I145">
        <f t="shared" si="17"/>
        <v>-4.9251939653328754E-2</v>
      </c>
      <c r="J145">
        <v>171.07</v>
      </c>
      <c r="K145">
        <f t="shared" si="18"/>
        <v>9.709485025331871E-2</v>
      </c>
      <c r="L145">
        <v>144.852</v>
      </c>
      <c r="M145">
        <f t="shared" si="19"/>
        <v>2.0821367536425911E-2</v>
      </c>
      <c r="N145">
        <v>59.21</v>
      </c>
      <c r="O145">
        <f t="shared" si="20"/>
        <v>0.12888465204957097</v>
      </c>
      <c r="Q145">
        <v>-9.992043089729466E-2</v>
      </c>
      <c r="R145">
        <v>1.7332647690492812E-2</v>
      </c>
      <c r="S145">
        <v>7.4228675136116043E-2</v>
      </c>
      <c r="T145">
        <v>-4.9251939653328754E-2</v>
      </c>
      <c r="U145">
        <v>9.709485025331871E-2</v>
      </c>
      <c r="V145">
        <v>2.0821367536425911E-2</v>
      </c>
      <c r="W145">
        <v>0.12888465204957097</v>
      </c>
    </row>
    <row r="146" spans="1:23" x14ac:dyDescent="0.2">
      <c r="A146" s="1">
        <v>44592</v>
      </c>
      <c r="B146">
        <v>24.486000000000001</v>
      </c>
      <c r="C146">
        <f t="shared" si="14"/>
        <v>-0.16745435381319915</v>
      </c>
      <c r="D146">
        <v>310.98</v>
      </c>
      <c r="E146">
        <f t="shared" si="15"/>
        <v>-7.5344909609895261E-2</v>
      </c>
      <c r="F146">
        <v>174.78</v>
      </c>
      <c r="G146">
        <f t="shared" si="16"/>
        <v>-1.571211353269129E-2</v>
      </c>
      <c r="H146">
        <v>149.5735</v>
      </c>
      <c r="I146">
        <f t="shared" si="17"/>
        <v>-0.10282994535650243</v>
      </c>
      <c r="J146">
        <v>172.29</v>
      </c>
      <c r="K146">
        <f t="shared" si="18"/>
        <v>7.131583562284439E-3</v>
      </c>
      <c r="L146">
        <v>135.30350000000001</v>
      </c>
      <c r="M146">
        <f t="shared" si="19"/>
        <v>-6.5919006986441264E-2</v>
      </c>
      <c r="N146">
        <v>61.01</v>
      </c>
      <c r="O146">
        <f t="shared" si="20"/>
        <v>3.040027022462417E-2</v>
      </c>
      <c r="Q146">
        <v>-0.16745435381319915</v>
      </c>
      <c r="R146">
        <v>-7.5344909609895261E-2</v>
      </c>
      <c r="S146">
        <v>-1.571211353269129E-2</v>
      </c>
      <c r="T146">
        <v>-0.10282994535650243</v>
      </c>
      <c r="U146">
        <v>7.131583562284439E-3</v>
      </c>
      <c r="V146">
        <v>-6.5919006986441264E-2</v>
      </c>
      <c r="W146">
        <v>3.040027022462417E-2</v>
      </c>
    </row>
    <row r="147" spans="1:23" x14ac:dyDescent="0.2">
      <c r="A147" s="1">
        <v>44620</v>
      </c>
      <c r="B147">
        <v>24.385000000000002</v>
      </c>
      <c r="C147">
        <f t="shared" si="14"/>
        <v>-4.124806011598427E-3</v>
      </c>
      <c r="D147">
        <v>298.79000000000002</v>
      </c>
      <c r="E147">
        <f t="shared" si="15"/>
        <v>-3.9198662293395067E-2</v>
      </c>
      <c r="F147">
        <v>165.12</v>
      </c>
      <c r="G147">
        <f t="shared" si="16"/>
        <v>-5.5269481634054221E-2</v>
      </c>
      <c r="H147">
        <v>153.56299999999999</v>
      </c>
      <c r="I147">
        <f t="shared" si="17"/>
        <v>2.6672505490611589E-2</v>
      </c>
      <c r="J147">
        <v>164.57</v>
      </c>
      <c r="K147">
        <f t="shared" si="18"/>
        <v>-4.4808172267688198E-2</v>
      </c>
      <c r="L147">
        <v>135.05699999999999</v>
      </c>
      <c r="M147">
        <f t="shared" si="19"/>
        <v>-1.8218301817767161E-3</v>
      </c>
      <c r="N147">
        <v>62.24</v>
      </c>
      <c r="O147">
        <f t="shared" si="20"/>
        <v>2.0160629405015638E-2</v>
      </c>
      <c r="Q147">
        <v>-4.124806011598427E-3</v>
      </c>
      <c r="R147">
        <v>-3.9198662293395067E-2</v>
      </c>
      <c r="S147">
        <v>-5.5269481634054221E-2</v>
      </c>
      <c r="T147">
        <v>2.6672505490611589E-2</v>
      </c>
      <c r="U147">
        <v>-4.4808172267688198E-2</v>
      </c>
      <c r="V147">
        <v>-1.8218301817767161E-3</v>
      </c>
      <c r="W147">
        <v>2.0160629405015638E-2</v>
      </c>
    </row>
    <row r="148" spans="1:23" x14ac:dyDescent="0.2">
      <c r="A148" s="1">
        <v>44651</v>
      </c>
      <c r="B148">
        <v>27.286000000000001</v>
      </c>
      <c r="C148">
        <f t="shared" si="14"/>
        <v>0.11896657781423005</v>
      </c>
      <c r="D148">
        <v>308.31</v>
      </c>
      <c r="E148">
        <f t="shared" si="15"/>
        <v>3.1861842765822088E-2</v>
      </c>
      <c r="F148">
        <v>174.61</v>
      </c>
      <c r="G148">
        <f t="shared" si="16"/>
        <v>5.7473352713178348E-2</v>
      </c>
      <c r="H148">
        <v>162.9975</v>
      </c>
      <c r="I148">
        <f t="shared" si="17"/>
        <v>6.1437325397394001E-2</v>
      </c>
      <c r="J148">
        <v>177.23</v>
      </c>
      <c r="K148">
        <f t="shared" si="18"/>
        <v>7.6927751108950587E-2</v>
      </c>
      <c r="L148">
        <v>139.0675</v>
      </c>
      <c r="M148">
        <f t="shared" si="19"/>
        <v>2.9694869573587506E-2</v>
      </c>
      <c r="N148">
        <v>62</v>
      </c>
      <c r="O148">
        <f t="shared" si="20"/>
        <v>-3.8560411311054305E-3</v>
      </c>
      <c r="Q148">
        <v>0.11896657781423005</v>
      </c>
      <c r="R148">
        <v>3.1861842765822088E-2</v>
      </c>
      <c r="S148">
        <v>5.7473352713178348E-2</v>
      </c>
      <c r="T148">
        <v>6.1437325397394001E-2</v>
      </c>
      <c r="U148">
        <v>7.6927751108950587E-2</v>
      </c>
      <c r="V148">
        <v>2.9694869573587506E-2</v>
      </c>
      <c r="W148">
        <v>-3.8560411311054305E-3</v>
      </c>
    </row>
    <row r="149" spans="1:23" x14ac:dyDescent="0.2">
      <c r="A149" s="1">
        <v>44680</v>
      </c>
      <c r="B149">
        <v>18.547000000000001</v>
      </c>
      <c r="C149">
        <f t="shared" si="14"/>
        <v>-0.3202741332551492</v>
      </c>
      <c r="D149">
        <v>277.52</v>
      </c>
      <c r="E149">
        <f t="shared" si="15"/>
        <v>-9.9867016963445951E-2</v>
      </c>
      <c r="F149">
        <v>157.65</v>
      </c>
      <c r="G149">
        <f t="shared" si="16"/>
        <v>-9.7130748525284957E-2</v>
      </c>
      <c r="H149">
        <v>124.28149999999999</v>
      </c>
      <c r="I149">
        <f t="shared" si="17"/>
        <v>-0.23752511541588067</v>
      </c>
      <c r="J149">
        <v>180.46</v>
      </c>
      <c r="K149">
        <f t="shared" si="18"/>
        <v>1.8224905490041292E-2</v>
      </c>
      <c r="L149">
        <v>114.1095</v>
      </c>
      <c r="M149">
        <f t="shared" si="19"/>
        <v>-0.17946680568788537</v>
      </c>
      <c r="N149">
        <v>64.61</v>
      </c>
      <c r="O149">
        <f t="shared" si="20"/>
        <v>4.2096774193548375E-2</v>
      </c>
      <c r="Q149">
        <v>-0.3202741332551492</v>
      </c>
      <c r="R149">
        <v>-9.9867016963445951E-2</v>
      </c>
      <c r="S149">
        <v>-9.7130748525284957E-2</v>
      </c>
      <c r="T149">
        <v>-0.23752511541588067</v>
      </c>
      <c r="U149">
        <v>1.8224905490041292E-2</v>
      </c>
      <c r="V149">
        <v>-0.17946680568788537</v>
      </c>
      <c r="W149">
        <v>4.2096774193548375E-2</v>
      </c>
    </row>
    <row r="150" spans="1:23" x14ac:dyDescent="0.2">
      <c r="A150" s="1">
        <v>44712</v>
      </c>
      <c r="B150">
        <v>18.672000000000001</v>
      </c>
      <c r="C150">
        <f t="shared" si="14"/>
        <v>6.7396344422278537E-3</v>
      </c>
      <c r="D150">
        <v>271.87</v>
      </c>
      <c r="E150">
        <f t="shared" si="15"/>
        <v>-2.0358893052752874E-2</v>
      </c>
      <c r="F150">
        <v>148.84</v>
      </c>
      <c r="G150">
        <f t="shared" si="16"/>
        <v>-5.5883285759594052E-2</v>
      </c>
      <c r="H150">
        <v>120.20950000000001</v>
      </c>
      <c r="I150">
        <f t="shared" si="17"/>
        <v>-3.2764329365191025E-2</v>
      </c>
      <c r="J150">
        <v>179.53</v>
      </c>
      <c r="K150">
        <f t="shared" si="18"/>
        <v>-5.1534966197495664E-3</v>
      </c>
      <c r="L150">
        <v>113.762</v>
      </c>
      <c r="M150">
        <f t="shared" si="19"/>
        <v>-3.0453205035513835E-3</v>
      </c>
      <c r="N150">
        <v>63.38</v>
      </c>
      <c r="O150">
        <f t="shared" si="20"/>
        <v>-1.9037300727441524E-2</v>
      </c>
      <c r="Q150">
        <v>6.7396344422278537E-3</v>
      </c>
      <c r="R150">
        <v>-2.0358893052752874E-2</v>
      </c>
      <c r="S150">
        <v>-5.5883285759594052E-2</v>
      </c>
      <c r="T150">
        <v>-3.2764329365191025E-2</v>
      </c>
      <c r="U150">
        <v>-5.1534966197495664E-3</v>
      </c>
      <c r="V150">
        <v>-3.0453205035513835E-3</v>
      </c>
      <c r="W150">
        <v>-1.9037300727441524E-2</v>
      </c>
    </row>
    <row r="151" spans="1:23" x14ac:dyDescent="0.2">
      <c r="A151" s="1">
        <v>44742</v>
      </c>
      <c r="B151">
        <v>15.159000000000001</v>
      </c>
      <c r="C151">
        <f t="shared" si="14"/>
        <v>-0.18814267352185088</v>
      </c>
      <c r="D151">
        <v>256.83</v>
      </c>
      <c r="E151">
        <f t="shared" si="15"/>
        <v>-5.5320557619450546E-2</v>
      </c>
      <c r="F151">
        <v>136.72</v>
      </c>
      <c r="G151">
        <f t="shared" si="16"/>
        <v>-8.1429723192690165E-2</v>
      </c>
      <c r="H151">
        <v>106.21</v>
      </c>
      <c r="I151">
        <f t="shared" si="17"/>
        <v>-0.11645918167865278</v>
      </c>
      <c r="J151">
        <v>177.51</v>
      </c>
      <c r="K151">
        <f t="shared" si="18"/>
        <v>-1.1251601403665183E-2</v>
      </c>
      <c r="L151">
        <v>108.96299999999999</v>
      </c>
      <c r="M151">
        <f t="shared" si="19"/>
        <v>-4.218456074963526E-2</v>
      </c>
      <c r="N151">
        <v>62.91</v>
      </c>
      <c r="O151">
        <f t="shared" si="20"/>
        <v>-7.4155885137268214E-3</v>
      </c>
      <c r="Q151">
        <v>-0.18814267352185088</v>
      </c>
      <c r="R151">
        <v>-5.5320557619450546E-2</v>
      </c>
      <c r="S151">
        <v>-8.1429723192690165E-2</v>
      </c>
      <c r="T151">
        <v>-0.11645918167865278</v>
      </c>
      <c r="U151">
        <v>-1.1251601403665183E-2</v>
      </c>
      <c r="V151">
        <v>-4.218456074963526E-2</v>
      </c>
      <c r="W151">
        <v>-7.4155885137268214E-3</v>
      </c>
    </row>
    <row r="152" spans="1:23" x14ac:dyDescent="0.2">
      <c r="A152" s="1">
        <v>44771</v>
      </c>
      <c r="B152">
        <v>18.163</v>
      </c>
      <c r="C152">
        <f t="shared" si="14"/>
        <v>0.1981661059436638</v>
      </c>
      <c r="D152">
        <v>280.74</v>
      </c>
      <c r="E152">
        <f t="shared" si="15"/>
        <v>9.3096600864385107E-2</v>
      </c>
      <c r="F152">
        <v>162.51</v>
      </c>
      <c r="G152">
        <f t="shared" si="16"/>
        <v>0.18863370392042125</v>
      </c>
      <c r="H152">
        <v>134.94999999999999</v>
      </c>
      <c r="I152">
        <f t="shared" si="17"/>
        <v>0.27059598907824117</v>
      </c>
      <c r="J152">
        <v>174.52</v>
      </c>
      <c r="K152">
        <f t="shared" si="18"/>
        <v>-1.6844121457945924E-2</v>
      </c>
      <c r="L152">
        <v>116.32</v>
      </c>
      <c r="M152">
        <f t="shared" si="19"/>
        <v>6.7518331910832119E-2</v>
      </c>
      <c r="N152">
        <v>64.17</v>
      </c>
      <c r="O152">
        <f t="shared" si="20"/>
        <v>2.0028612303290498E-2</v>
      </c>
      <c r="Q152">
        <v>0.1981661059436638</v>
      </c>
      <c r="R152">
        <v>9.3096600864385107E-2</v>
      </c>
      <c r="S152">
        <v>0.18863370392042125</v>
      </c>
      <c r="T152">
        <v>0.27059598907824117</v>
      </c>
      <c r="U152">
        <v>-1.6844121457945924E-2</v>
      </c>
      <c r="V152">
        <v>6.7518331910832119E-2</v>
      </c>
      <c r="W152">
        <v>2.0028612303290498E-2</v>
      </c>
    </row>
    <row r="153" spans="1:23" x14ac:dyDescent="0.2">
      <c r="A153" s="1">
        <v>44804</v>
      </c>
      <c r="B153">
        <v>15.093999999999999</v>
      </c>
      <c r="C153">
        <f t="shared" si="14"/>
        <v>-0.16896988382976386</v>
      </c>
      <c r="D153">
        <v>261.47000000000003</v>
      </c>
      <c r="E153">
        <f t="shared" si="15"/>
        <v>-6.8640022796893851E-2</v>
      </c>
      <c r="F153">
        <v>157.22</v>
      </c>
      <c r="G153">
        <f t="shared" si="16"/>
        <v>-3.2551842963509887E-2</v>
      </c>
      <c r="H153">
        <v>126.77</v>
      </c>
      <c r="I153">
        <f t="shared" si="17"/>
        <v>-6.0615042608373422E-2</v>
      </c>
      <c r="J153">
        <v>161.34</v>
      </c>
      <c r="K153">
        <f t="shared" si="18"/>
        <v>-7.5521430208572118E-2</v>
      </c>
      <c r="L153">
        <v>108.22</v>
      </c>
      <c r="M153">
        <f t="shared" si="19"/>
        <v>-6.9635488308115501E-2</v>
      </c>
      <c r="N153">
        <v>61.71</v>
      </c>
      <c r="O153">
        <f t="shared" si="20"/>
        <v>-3.8335670874240314E-2</v>
      </c>
      <c r="Q153">
        <v>-0.16896988382976386</v>
      </c>
      <c r="R153">
        <v>-6.8640022796893851E-2</v>
      </c>
      <c r="S153">
        <v>-3.2551842963509887E-2</v>
      </c>
      <c r="T153">
        <v>-6.0615042608373422E-2</v>
      </c>
      <c r="U153">
        <v>-7.5521430208572118E-2</v>
      </c>
      <c r="V153">
        <v>-6.9635488308115501E-2</v>
      </c>
      <c r="W153">
        <v>-3.8335670874240314E-2</v>
      </c>
    </row>
    <row r="154" spans="1:23" x14ac:dyDescent="0.2">
      <c r="A154" s="1">
        <v>44834</v>
      </c>
      <c r="B154">
        <v>12.138999999999999</v>
      </c>
      <c r="C154">
        <f t="shared" si="14"/>
        <v>-0.19577315489598518</v>
      </c>
      <c r="D154">
        <v>232.9</v>
      </c>
      <c r="E154">
        <f t="shared" si="15"/>
        <v>-0.10926683749569747</v>
      </c>
      <c r="F154">
        <v>138.19999999999999</v>
      </c>
      <c r="G154">
        <f t="shared" si="16"/>
        <v>-0.12097697493957518</v>
      </c>
      <c r="H154">
        <v>113</v>
      </c>
      <c r="I154">
        <f t="shared" si="17"/>
        <v>-0.10862191370197993</v>
      </c>
      <c r="J154">
        <v>163.36000000000001</v>
      </c>
      <c r="K154">
        <f t="shared" si="18"/>
        <v>1.2520143795710984E-2</v>
      </c>
      <c r="L154">
        <v>95.65</v>
      </c>
      <c r="M154">
        <f t="shared" si="19"/>
        <v>-0.11615228238772864</v>
      </c>
      <c r="N154">
        <v>56.02</v>
      </c>
      <c r="O154">
        <f t="shared" si="20"/>
        <v>-9.2205477232215158E-2</v>
      </c>
      <c r="Q154">
        <v>-0.19577315489598518</v>
      </c>
      <c r="R154">
        <v>-0.10926683749569747</v>
      </c>
      <c r="S154">
        <v>-0.12097697493957518</v>
      </c>
      <c r="T154">
        <v>-0.10862191370197993</v>
      </c>
      <c r="U154">
        <v>1.2520143795710984E-2</v>
      </c>
      <c r="V154">
        <v>-0.11615228238772864</v>
      </c>
      <c r="W154">
        <v>-9.2205477232215158E-2</v>
      </c>
    </row>
    <row r="155" spans="1:23" x14ac:dyDescent="0.2">
      <c r="A155" s="1">
        <v>44865</v>
      </c>
      <c r="B155">
        <v>13.497</v>
      </c>
      <c r="C155">
        <f t="shared" si="14"/>
        <v>0.11187082955762424</v>
      </c>
      <c r="D155">
        <v>232.13</v>
      </c>
      <c r="E155">
        <f t="shared" si="15"/>
        <v>-3.3061399742379143E-3</v>
      </c>
      <c r="F155">
        <v>153.34</v>
      </c>
      <c r="G155">
        <f t="shared" si="16"/>
        <v>0.10955137481910286</v>
      </c>
      <c r="H155">
        <v>102.44</v>
      </c>
      <c r="I155">
        <f t="shared" si="17"/>
        <v>-9.3451327433628342E-2</v>
      </c>
      <c r="J155">
        <v>173.97</v>
      </c>
      <c r="K155">
        <f t="shared" si="18"/>
        <v>6.4948579823702154E-2</v>
      </c>
      <c r="L155">
        <v>94.51</v>
      </c>
      <c r="M155">
        <f t="shared" si="19"/>
        <v>-1.1918452692106644E-2</v>
      </c>
      <c r="N155">
        <v>59.85</v>
      </c>
      <c r="O155">
        <f t="shared" si="20"/>
        <v>6.8368439842913215E-2</v>
      </c>
      <c r="Q155">
        <v>0.11187082955762424</v>
      </c>
      <c r="R155">
        <v>-3.3061399742379143E-3</v>
      </c>
      <c r="S155">
        <v>0.10955137481910286</v>
      </c>
      <c r="T155">
        <v>-9.3451327433628342E-2</v>
      </c>
      <c r="U155">
        <v>6.4948579823702154E-2</v>
      </c>
      <c r="V155">
        <v>-1.1918452692106644E-2</v>
      </c>
      <c r="W155">
        <v>6.8368439842913215E-2</v>
      </c>
    </row>
    <row r="156" spans="1:23" x14ac:dyDescent="0.2">
      <c r="A156" s="1">
        <v>44895</v>
      </c>
      <c r="B156">
        <v>16.922999999999998</v>
      </c>
      <c r="C156">
        <f t="shared" si="14"/>
        <v>0.25383418537452757</v>
      </c>
      <c r="D156">
        <v>255.14</v>
      </c>
      <c r="E156">
        <f t="shared" si="15"/>
        <v>9.9125490027139926E-2</v>
      </c>
      <c r="F156">
        <v>148.03</v>
      </c>
      <c r="G156">
        <f t="shared" si="16"/>
        <v>-3.4628929176992319E-2</v>
      </c>
      <c r="H156">
        <v>96.54</v>
      </c>
      <c r="I156">
        <f t="shared" si="17"/>
        <v>-5.7594689574384926E-2</v>
      </c>
      <c r="J156">
        <v>178</v>
      </c>
      <c r="K156">
        <f t="shared" si="18"/>
        <v>2.3164913490831759E-2</v>
      </c>
      <c r="L156">
        <v>100.99</v>
      </c>
      <c r="M156">
        <f t="shared" si="19"/>
        <v>6.8564173103375189E-2</v>
      </c>
      <c r="N156">
        <v>63.61</v>
      </c>
      <c r="O156">
        <f t="shared" si="20"/>
        <v>6.2823725981620684E-2</v>
      </c>
      <c r="Q156">
        <v>0.25383418537452757</v>
      </c>
      <c r="R156">
        <v>9.9125490027139926E-2</v>
      </c>
      <c r="S156">
        <v>-3.4628929176992319E-2</v>
      </c>
      <c r="T156">
        <v>-5.7594689574384926E-2</v>
      </c>
      <c r="U156">
        <v>2.3164913490831759E-2</v>
      </c>
      <c r="V156">
        <v>6.8564173103375189E-2</v>
      </c>
      <c r="W156">
        <v>6.2823725981620684E-2</v>
      </c>
    </row>
    <row r="157" spans="1:23" x14ac:dyDescent="0.2">
      <c r="A157" s="1">
        <v>44925</v>
      </c>
      <c r="B157">
        <v>14.614000000000001</v>
      </c>
      <c r="C157">
        <f t="shared" si="14"/>
        <v>-0.1364415292796784</v>
      </c>
      <c r="D157">
        <v>239.82</v>
      </c>
      <c r="E157">
        <f t="shared" si="15"/>
        <v>-6.0045465234773041E-2</v>
      </c>
      <c r="F157">
        <v>129.93</v>
      </c>
      <c r="G157">
        <f t="shared" si="16"/>
        <v>-0.12227251232858201</v>
      </c>
      <c r="H157">
        <v>84</v>
      </c>
      <c r="I157">
        <f t="shared" si="17"/>
        <v>-0.1298943443132381</v>
      </c>
      <c r="J157">
        <v>176.65</v>
      </c>
      <c r="K157">
        <f t="shared" si="18"/>
        <v>-7.5842696629213162E-3</v>
      </c>
      <c r="L157">
        <v>88.23</v>
      </c>
      <c r="M157">
        <f t="shared" si="19"/>
        <v>-0.12634914347955234</v>
      </c>
      <c r="N157">
        <v>63.61</v>
      </c>
      <c r="O157">
        <f t="shared" si="20"/>
        <v>0</v>
      </c>
      <c r="Q157">
        <v>-0.1364415292796784</v>
      </c>
      <c r="R157">
        <v>-6.0045465234773041E-2</v>
      </c>
      <c r="S157">
        <v>-0.12227251232858201</v>
      </c>
      <c r="T157">
        <v>-0.1298943443132381</v>
      </c>
      <c r="U157">
        <v>-7.5842696629213162E-3</v>
      </c>
      <c r="V157">
        <v>-0.12634914347955234</v>
      </c>
      <c r="W157">
        <v>0</v>
      </c>
    </row>
    <row r="158" spans="1:23" x14ac:dyDescent="0.2">
      <c r="A158" s="1">
        <v>44957</v>
      </c>
      <c r="B158">
        <v>19.536999999999999</v>
      </c>
      <c r="C158">
        <f t="shared" si="14"/>
        <v>0.33686875598740917</v>
      </c>
      <c r="D158">
        <v>247.81</v>
      </c>
      <c r="E158">
        <f t="shared" si="15"/>
        <v>3.3316654157284666E-2</v>
      </c>
      <c r="F158">
        <v>144.29</v>
      </c>
      <c r="G158">
        <f t="shared" si="16"/>
        <v>0.11052104979604391</v>
      </c>
      <c r="H158">
        <v>103.13</v>
      </c>
      <c r="I158">
        <f t="shared" si="17"/>
        <v>0.22773809523809518</v>
      </c>
      <c r="J158">
        <v>163.41999999999999</v>
      </c>
      <c r="K158">
        <f t="shared" si="18"/>
        <v>-7.4893857911123796E-2</v>
      </c>
      <c r="L158">
        <v>98.84</v>
      </c>
      <c r="M158">
        <f t="shared" si="19"/>
        <v>0.12025388189958063</v>
      </c>
      <c r="N158">
        <v>61.32</v>
      </c>
      <c r="O158">
        <f t="shared" si="20"/>
        <v>-3.6000628831944652E-2</v>
      </c>
      <c r="Q158">
        <v>0.33686875598740917</v>
      </c>
      <c r="R158">
        <v>3.3316654157284666E-2</v>
      </c>
      <c r="S158">
        <v>0.11052104979604391</v>
      </c>
      <c r="T158">
        <v>0.22773809523809518</v>
      </c>
      <c r="U158">
        <v>-7.4893857911123796E-2</v>
      </c>
      <c r="V158">
        <v>0.12025388189958063</v>
      </c>
      <c r="W158">
        <v>-3.6000628831944652E-2</v>
      </c>
    </row>
    <row r="159" spans="1:23" x14ac:dyDescent="0.2">
      <c r="A159" s="1">
        <v>44985</v>
      </c>
      <c r="B159">
        <v>23.216000000000001</v>
      </c>
      <c r="C159">
        <f t="shared" si="14"/>
        <v>0.18830936172390861</v>
      </c>
      <c r="D159">
        <v>249.42</v>
      </c>
      <c r="E159">
        <f t="shared" si="15"/>
        <v>6.4969129575077082E-3</v>
      </c>
      <c r="F159">
        <v>147.41</v>
      </c>
      <c r="G159">
        <f t="shared" si="16"/>
        <v>2.1623120105343438E-2</v>
      </c>
      <c r="H159">
        <v>94.23</v>
      </c>
      <c r="I159">
        <f t="shared" si="17"/>
        <v>-8.629884611655185E-2</v>
      </c>
      <c r="J159">
        <v>153.26</v>
      </c>
      <c r="K159">
        <f t="shared" si="18"/>
        <v>-6.2171092889487196E-2</v>
      </c>
      <c r="L159">
        <v>90.06</v>
      </c>
      <c r="M159">
        <f t="shared" si="19"/>
        <v>-8.883043302306759E-2</v>
      </c>
      <c r="N159">
        <v>59.51</v>
      </c>
      <c r="O159">
        <f t="shared" si="20"/>
        <v>-2.9517286366601472E-2</v>
      </c>
      <c r="Q159">
        <v>0.18830936172390861</v>
      </c>
      <c r="R159">
        <v>6.4969129575077082E-3</v>
      </c>
      <c r="S159">
        <v>2.1623120105343438E-2</v>
      </c>
      <c r="T159">
        <v>-8.629884611655185E-2</v>
      </c>
      <c r="U159">
        <v>-6.2171092889487196E-2</v>
      </c>
      <c r="V159">
        <v>-8.883043302306759E-2</v>
      </c>
      <c r="W159">
        <v>-2.9517286366601472E-2</v>
      </c>
    </row>
    <row r="160" spans="1:23" x14ac:dyDescent="0.2">
      <c r="A160" s="1">
        <v>45016</v>
      </c>
      <c r="B160">
        <v>27.777000000000001</v>
      </c>
      <c r="C160">
        <f t="shared" si="14"/>
        <v>0.19645933838731908</v>
      </c>
      <c r="D160">
        <v>288.3</v>
      </c>
      <c r="E160">
        <f t="shared" si="15"/>
        <v>0.1558816454173684</v>
      </c>
      <c r="F160">
        <v>164.9</v>
      </c>
      <c r="G160">
        <f t="shared" si="16"/>
        <v>0.11864866698324408</v>
      </c>
      <c r="H160">
        <v>103.29</v>
      </c>
      <c r="I160">
        <f t="shared" si="17"/>
        <v>9.6147723654886996E-2</v>
      </c>
      <c r="J160">
        <v>155</v>
      </c>
      <c r="K160">
        <f t="shared" si="18"/>
        <v>1.1353255904998102E-2</v>
      </c>
      <c r="L160">
        <v>103.73</v>
      </c>
      <c r="M160">
        <f t="shared" si="19"/>
        <v>0.15178769709082834</v>
      </c>
      <c r="N160">
        <v>62.03</v>
      </c>
      <c r="O160">
        <f t="shared" si="20"/>
        <v>4.2345824231221699E-2</v>
      </c>
      <c r="Q160">
        <v>0.19645933838731908</v>
      </c>
      <c r="R160">
        <v>0.1558816454173684</v>
      </c>
      <c r="S160">
        <v>0.11864866698324408</v>
      </c>
      <c r="T160">
        <v>9.6147723654886996E-2</v>
      </c>
      <c r="U160">
        <v>1.1353255904998102E-2</v>
      </c>
      <c r="V160">
        <v>0.15178769709082834</v>
      </c>
      <c r="W160">
        <v>4.2345824231221699E-2</v>
      </c>
    </row>
    <row r="161" spans="1:23" x14ac:dyDescent="0.2">
      <c r="A161" s="1">
        <v>45044</v>
      </c>
      <c r="B161">
        <v>27.748999999999999</v>
      </c>
      <c r="C161">
        <f t="shared" si="14"/>
        <v>-1.0080282247903749E-3</v>
      </c>
      <c r="D161">
        <v>307.26</v>
      </c>
      <c r="E161">
        <f t="shared" si="15"/>
        <v>6.5764828303850081E-2</v>
      </c>
      <c r="F161">
        <v>169.68</v>
      </c>
      <c r="G161">
        <f t="shared" si="16"/>
        <v>2.8987265009096427E-2</v>
      </c>
      <c r="H161">
        <v>105.45</v>
      </c>
      <c r="I161">
        <f t="shared" si="17"/>
        <v>2.0911995352889887E-2</v>
      </c>
      <c r="J161">
        <v>163.69999999999999</v>
      </c>
      <c r="K161">
        <f t="shared" si="18"/>
        <v>5.612903225806444E-2</v>
      </c>
      <c r="L161">
        <v>107.34</v>
      </c>
      <c r="M161">
        <f t="shared" si="19"/>
        <v>3.4801889520871487E-2</v>
      </c>
      <c r="N161">
        <v>64.150000000000006</v>
      </c>
      <c r="O161">
        <f t="shared" si="20"/>
        <v>3.4177011123649917E-2</v>
      </c>
      <c r="Q161">
        <v>-1.0080282247903749E-3</v>
      </c>
      <c r="R161">
        <v>6.5764828303850081E-2</v>
      </c>
      <c r="S161">
        <v>2.8987265009096427E-2</v>
      </c>
      <c r="T161">
        <v>2.0911995352889887E-2</v>
      </c>
      <c r="U161">
        <v>5.612903225806444E-2</v>
      </c>
      <c r="V161">
        <v>3.4801889520871487E-2</v>
      </c>
      <c r="W161">
        <v>3.4177011123649917E-2</v>
      </c>
    </row>
    <row r="162" spans="1:23" x14ac:dyDescent="0.2">
      <c r="A162" s="1">
        <v>45077</v>
      </c>
      <c r="B162">
        <v>37.834000000000003</v>
      </c>
      <c r="C162">
        <f t="shared" si="14"/>
        <v>0.36343652023496359</v>
      </c>
      <c r="D162">
        <v>328.39</v>
      </c>
      <c r="E162">
        <f t="shared" si="15"/>
        <v>6.8769120614463303E-2</v>
      </c>
      <c r="F162">
        <v>177.25</v>
      </c>
      <c r="G162">
        <f t="shared" si="16"/>
        <v>4.4613389910419569E-2</v>
      </c>
      <c r="H162">
        <v>120.58</v>
      </c>
      <c r="I162">
        <f t="shared" si="17"/>
        <v>0.14348032242769079</v>
      </c>
      <c r="J162">
        <v>155.06</v>
      </c>
      <c r="K162">
        <f t="shared" si="18"/>
        <v>-5.2779474648747632E-2</v>
      </c>
      <c r="L162">
        <v>122.87</v>
      </c>
      <c r="M162">
        <f t="shared" si="19"/>
        <v>0.1446804546301472</v>
      </c>
      <c r="N162">
        <v>59.66</v>
      </c>
      <c r="O162">
        <f t="shared" si="20"/>
        <v>-6.9992205767732019E-2</v>
      </c>
      <c r="Q162">
        <v>0.36343652023496359</v>
      </c>
      <c r="R162">
        <v>6.8769120614463303E-2</v>
      </c>
      <c r="S162">
        <v>4.4613389910419569E-2</v>
      </c>
      <c r="T162">
        <v>0.14348032242769079</v>
      </c>
      <c r="U162">
        <v>-5.2779474648747632E-2</v>
      </c>
      <c r="V162">
        <v>0.1446804546301472</v>
      </c>
      <c r="W162">
        <v>-6.9992205767732019E-2</v>
      </c>
    </row>
    <row r="163" spans="1:23" x14ac:dyDescent="0.2">
      <c r="A163" s="1">
        <v>45107</v>
      </c>
      <c r="B163">
        <v>42.302</v>
      </c>
      <c r="C163">
        <f t="shared" si="14"/>
        <v>0.11809483533329798</v>
      </c>
      <c r="D163">
        <v>340.54</v>
      </c>
      <c r="E163">
        <f t="shared" si="15"/>
        <v>3.6998690581321096E-2</v>
      </c>
      <c r="F163">
        <v>193.97</v>
      </c>
      <c r="G163">
        <f t="shared" si="16"/>
        <v>9.4330042313117063E-2</v>
      </c>
      <c r="H163">
        <v>130.36000000000001</v>
      </c>
      <c r="I163">
        <f t="shared" si="17"/>
        <v>8.1107978105821987E-2</v>
      </c>
      <c r="J163">
        <v>165.52</v>
      </c>
      <c r="K163">
        <f t="shared" si="18"/>
        <v>6.7457758287114714E-2</v>
      </c>
      <c r="L163">
        <v>119.7</v>
      </c>
      <c r="M163">
        <f t="shared" si="19"/>
        <v>-2.5799625620574605E-2</v>
      </c>
      <c r="N163">
        <v>60.22</v>
      </c>
      <c r="O163">
        <f t="shared" si="20"/>
        <v>9.3865236339256176E-3</v>
      </c>
      <c r="Q163">
        <v>0.11809483533329798</v>
      </c>
      <c r="R163">
        <v>3.6998690581321096E-2</v>
      </c>
      <c r="S163">
        <v>9.4330042313117063E-2</v>
      </c>
      <c r="T163">
        <v>8.1107978105821987E-2</v>
      </c>
      <c r="U163">
        <v>6.7457758287114714E-2</v>
      </c>
      <c r="V163">
        <v>-2.5799625620574605E-2</v>
      </c>
      <c r="W163">
        <v>9.3865236339256176E-3</v>
      </c>
    </row>
    <row r="164" spans="1:23" x14ac:dyDescent="0.2">
      <c r="A164" s="1">
        <v>45138</v>
      </c>
      <c r="B164">
        <v>46.728999999999999</v>
      </c>
      <c r="C164">
        <f t="shared" si="14"/>
        <v>0.10465226230438276</v>
      </c>
      <c r="D164">
        <v>335.92</v>
      </c>
      <c r="E164">
        <f t="shared" si="15"/>
        <v>-1.3566688201092395E-2</v>
      </c>
      <c r="F164">
        <v>196.45</v>
      </c>
      <c r="G164">
        <f t="shared" si="16"/>
        <v>1.2785482291075886E-2</v>
      </c>
      <c r="H164">
        <v>133.68</v>
      </c>
      <c r="I164">
        <f t="shared" si="17"/>
        <v>2.5467934949370916E-2</v>
      </c>
      <c r="J164">
        <v>167.53</v>
      </c>
      <c r="K164">
        <f t="shared" si="18"/>
        <v>1.2143547607539818E-2</v>
      </c>
      <c r="L164">
        <v>132.72</v>
      </c>
      <c r="M164">
        <f t="shared" si="19"/>
        <v>0.10877192982456137</v>
      </c>
      <c r="N164">
        <v>61.93</v>
      </c>
      <c r="O164">
        <f t="shared" si="20"/>
        <v>2.8395881766854879E-2</v>
      </c>
      <c r="Q164">
        <v>0.10465226230438276</v>
      </c>
      <c r="R164">
        <v>-1.3566688201092395E-2</v>
      </c>
      <c r="S164">
        <v>1.2785482291075886E-2</v>
      </c>
      <c r="T164">
        <v>2.5467934949370916E-2</v>
      </c>
      <c r="U164">
        <v>1.2143547607539818E-2</v>
      </c>
      <c r="V164">
        <v>0.10877192982456137</v>
      </c>
      <c r="W164">
        <v>2.8395881766854879E-2</v>
      </c>
    </row>
    <row r="165" spans="1:23" x14ac:dyDescent="0.2">
      <c r="A165" s="1">
        <v>45169</v>
      </c>
      <c r="B165">
        <v>49.354999999999997</v>
      </c>
      <c r="C165">
        <f t="shared" si="14"/>
        <v>5.619636628218018E-2</v>
      </c>
      <c r="D165">
        <v>327.76</v>
      </c>
      <c r="E165">
        <f t="shared" si="15"/>
        <v>-2.4291497975708575E-2</v>
      </c>
      <c r="F165">
        <v>187.87</v>
      </c>
      <c r="G165">
        <f t="shared" si="16"/>
        <v>-4.367523542886223E-2</v>
      </c>
      <c r="H165">
        <v>138.01</v>
      </c>
      <c r="I165">
        <f t="shared" si="17"/>
        <v>3.2390783961699463E-2</v>
      </c>
      <c r="J165">
        <v>161.68</v>
      </c>
      <c r="K165">
        <f t="shared" si="18"/>
        <v>-3.4919118963767648E-2</v>
      </c>
      <c r="L165">
        <v>136.16999999999999</v>
      </c>
      <c r="M165">
        <f t="shared" si="19"/>
        <v>2.5994575045207871E-2</v>
      </c>
      <c r="N165">
        <v>59.83</v>
      </c>
      <c r="O165">
        <f t="shared" si="20"/>
        <v>-3.3909252381721322E-2</v>
      </c>
      <c r="Q165">
        <v>5.619636628218018E-2</v>
      </c>
      <c r="R165">
        <v>-2.4291497975708575E-2</v>
      </c>
      <c r="S165">
        <v>-4.367523542886223E-2</v>
      </c>
      <c r="T165">
        <v>3.2390783961699463E-2</v>
      </c>
      <c r="U165">
        <v>-3.4919118963767648E-2</v>
      </c>
      <c r="V165">
        <v>2.5994575045207871E-2</v>
      </c>
      <c r="W165">
        <v>-3.3909252381721322E-2</v>
      </c>
    </row>
    <row r="166" spans="1:23" x14ac:dyDescent="0.2">
      <c r="A166" s="1">
        <v>45198</v>
      </c>
      <c r="B166">
        <v>43.499000000000002</v>
      </c>
      <c r="C166">
        <f t="shared" si="14"/>
        <v>-0.11865059264512197</v>
      </c>
      <c r="D166">
        <v>315.75</v>
      </c>
      <c r="E166">
        <f t="shared" si="15"/>
        <v>-3.6642665364901121E-2</v>
      </c>
      <c r="F166">
        <v>171.21</v>
      </c>
      <c r="G166">
        <f t="shared" si="16"/>
        <v>-8.8678341406291564E-2</v>
      </c>
      <c r="H166">
        <v>127.12</v>
      </c>
      <c r="I166">
        <f t="shared" si="17"/>
        <v>-7.8907325556119026E-2</v>
      </c>
      <c r="J166">
        <v>155.75</v>
      </c>
      <c r="K166">
        <f t="shared" si="18"/>
        <v>-3.6677387431964414E-2</v>
      </c>
      <c r="L166">
        <v>130.86000000000001</v>
      </c>
      <c r="M166">
        <f t="shared" si="19"/>
        <v>-3.8995373430270798E-2</v>
      </c>
      <c r="N166">
        <v>55.98</v>
      </c>
      <c r="O166">
        <f t="shared" si="20"/>
        <v>-6.434898880160457E-2</v>
      </c>
      <c r="Q166">
        <v>-0.11865059264512197</v>
      </c>
      <c r="R166">
        <v>-3.6642665364901121E-2</v>
      </c>
      <c r="S166">
        <v>-8.8678341406291564E-2</v>
      </c>
      <c r="T166">
        <v>-7.8907325556119026E-2</v>
      </c>
      <c r="U166">
        <v>-3.6677387431964414E-2</v>
      </c>
      <c r="V166">
        <v>-3.8995373430270798E-2</v>
      </c>
      <c r="W166">
        <v>-6.434898880160457E-2</v>
      </c>
    </row>
    <row r="167" spans="1:23" x14ac:dyDescent="0.2">
      <c r="A167" s="1">
        <v>45230</v>
      </c>
      <c r="B167">
        <v>40.78</v>
      </c>
      <c r="C167">
        <f t="shared" si="14"/>
        <v>-6.2507184073197108E-2</v>
      </c>
      <c r="D167">
        <v>338.11</v>
      </c>
      <c r="E167">
        <f t="shared" si="15"/>
        <v>7.0815518606492517E-2</v>
      </c>
      <c r="F167">
        <v>170.77</v>
      </c>
      <c r="G167">
        <f t="shared" si="16"/>
        <v>-2.5699433444308028E-3</v>
      </c>
      <c r="H167">
        <v>133.09</v>
      </c>
      <c r="I167">
        <f t="shared" si="17"/>
        <v>4.6963499056010057E-2</v>
      </c>
      <c r="J167">
        <v>148.34</v>
      </c>
      <c r="K167">
        <f t="shared" si="18"/>
        <v>-4.7576243980738342E-2</v>
      </c>
      <c r="L167">
        <v>124.08</v>
      </c>
      <c r="M167">
        <f t="shared" si="19"/>
        <v>-5.1811095827602127E-2</v>
      </c>
      <c r="N167">
        <v>56.49</v>
      </c>
      <c r="O167">
        <f t="shared" si="20"/>
        <v>9.1103965702037364E-3</v>
      </c>
      <c r="Q167">
        <v>-6.2507184073197108E-2</v>
      </c>
      <c r="R167">
        <v>7.0815518606492517E-2</v>
      </c>
      <c r="S167">
        <v>-2.5699433444308028E-3</v>
      </c>
      <c r="T167">
        <v>4.6963499056010057E-2</v>
      </c>
      <c r="U167">
        <v>-4.7576243980738342E-2</v>
      </c>
      <c r="V167">
        <v>-5.1811095827602127E-2</v>
      </c>
      <c r="W167">
        <v>9.1103965702037364E-3</v>
      </c>
    </row>
    <row r="168" spans="1:23" x14ac:dyDescent="0.2">
      <c r="A168" s="1">
        <v>45260</v>
      </c>
      <c r="B168">
        <v>46.77</v>
      </c>
      <c r="C168">
        <f t="shared" si="14"/>
        <v>0.14688572829818544</v>
      </c>
      <c r="D168">
        <v>378.91</v>
      </c>
      <c r="E168">
        <f t="shared" si="15"/>
        <v>0.1206707876134986</v>
      </c>
      <c r="F168">
        <v>189.95</v>
      </c>
      <c r="G168">
        <f t="shared" si="16"/>
        <v>0.11231480939275035</v>
      </c>
      <c r="H168">
        <v>146.09</v>
      </c>
      <c r="I168">
        <f t="shared" si="17"/>
        <v>9.7678262829664131E-2</v>
      </c>
      <c r="J168">
        <v>154.66</v>
      </c>
      <c r="K168">
        <f t="shared" si="18"/>
        <v>4.2604826749359531E-2</v>
      </c>
      <c r="L168">
        <v>132.53</v>
      </c>
      <c r="M168">
        <f t="shared" si="19"/>
        <v>6.8101225016118663E-2</v>
      </c>
      <c r="N168">
        <v>58.44</v>
      </c>
      <c r="O168">
        <f t="shared" si="20"/>
        <v>3.4519383961763066E-2</v>
      </c>
      <c r="Q168">
        <v>0.14688572829818544</v>
      </c>
      <c r="R168">
        <v>0.1206707876134986</v>
      </c>
      <c r="S168">
        <v>0.11231480939275035</v>
      </c>
      <c r="T168">
        <v>9.7678262829664131E-2</v>
      </c>
      <c r="U168">
        <v>4.2604826749359531E-2</v>
      </c>
      <c r="V168">
        <v>6.8101225016118663E-2</v>
      </c>
      <c r="W168">
        <v>3.4519383961763066E-2</v>
      </c>
    </row>
    <row r="169" spans="1:23" x14ac:dyDescent="0.2">
      <c r="A169" s="1">
        <v>45289</v>
      </c>
      <c r="B169">
        <v>49.521999999999998</v>
      </c>
      <c r="C169">
        <f t="shared" si="14"/>
        <v>5.8841137481291321E-2</v>
      </c>
      <c r="D169">
        <v>376.04</v>
      </c>
      <c r="E169">
        <f t="shared" si="15"/>
        <v>-7.5743580269721153E-3</v>
      </c>
      <c r="F169">
        <v>192.53</v>
      </c>
      <c r="G169">
        <f t="shared" si="16"/>
        <v>1.3582521716241183E-2</v>
      </c>
      <c r="H169">
        <v>151.94</v>
      </c>
      <c r="I169">
        <f t="shared" si="17"/>
        <v>4.0043808611130084E-2</v>
      </c>
      <c r="J169">
        <v>156.74</v>
      </c>
      <c r="K169">
        <f t="shared" si="18"/>
        <v>1.3448855554118793E-2</v>
      </c>
      <c r="L169">
        <v>139.69</v>
      </c>
      <c r="M169">
        <f t="shared" si="19"/>
        <v>5.4025503659548758E-2</v>
      </c>
      <c r="N169">
        <v>58.93</v>
      </c>
      <c r="O169">
        <f t="shared" si="20"/>
        <v>8.3846680355920949E-3</v>
      </c>
      <c r="Q169">
        <v>5.8841137481291321E-2</v>
      </c>
      <c r="R169">
        <v>-7.5743580269721153E-3</v>
      </c>
      <c r="S169">
        <v>1.3582521716241183E-2</v>
      </c>
      <c r="T169">
        <v>4.0043808611130084E-2</v>
      </c>
      <c r="U169">
        <v>1.3448855554118793E-2</v>
      </c>
      <c r="V169">
        <v>5.4025503659548758E-2</v>
      </c>
      <c r="W169">
        <v>8.3846680355920949E-3</v>
      </c>
    </row>
    <row r="170" spans="1:23" x14ac:dyDescent="0.2">
      <c r="A170" s="1">
        <v>45322</v>
      </c>
      <c r="B170">
        <v>61.527000000000001</v>
      </c>
      <c r="C170">
        <f t="shared" si="14"/>
        <v>0.24241751140907078</v>
      </c>
      <c r="D170">
        <v>397.58</v>
      </c>
      <c r="E170">
        <f t="shared" si="15"/>
        <v>5.7281140304222856E-2</v>
      </c>
      <c r="F170">
        <v>184.4</v>
      </c>
      <c r="G170">
        <f t="shared" si="16"/>
        <v>-4.2227185373707968E-2</v>
      </c>
      <c r="H170">
        <v>155.19999999999999</v>
      </c>
      <c r="I170">
        <f t="shared" si="17"/>
        <v>2.1455837830722593E-2</v>
      </c>
      <c r="J170">
        <v>158.9</v>
      </c>
      <c r="K170">
        <f t="shared" si="18"/>
        <v>1.3780783463059821E-2</v>
      </c>
      <c r="L170">
        <v>140.1</v>
      </c>
      <c r="M170">
        <f t="shared" si="19"/>
        <v>2.9350705132793801E-3</v>
      </c>
      <c r="N170">
        <v>59.49</v>
      </c>
      <c r="O170">
        <f t="shared" si="20"/>
        <v>9.5027999321228955E-3</v>
      </c>
      <c r="Q170">
        <v>0.24241751140907078</v>
      </c>
      <c r="R170">
        <v>5.7281140304222856E-2</v>
      </c>
      <c r="S170">
        <v>-4.2227185373707968E-2</v>
      </c>
      <c r="T170">
        <v>2.1455837830722593E-2</v>
      </c>
      <c r="U170">
        <v>1.3780783463059821E-2</v>
      </c>
      <c r="V170">
        <v>2.9350705132793801E-3</v>
      </c>
      <c r="W170">
        <v>9.5027999321228955E-3</v>
      </c>
    </row>
    <row r="171" spans="1:23" x14ac:dyDescent="0.2">
      <c r="A171" s="1">
        <v>45351</v>
      </c>
      <c r="B171">
        <v>79.111999999999995</v>
      </c>
      <c r="C171">
        <f t="shared" si="14"/>
        <v>0.28580948201602535</v>
      </c>
      <c r="D171">
        <v>413.64</v>
      </c>
      <c r="E171">
        <f t="shared" si="15"/>
        <v>4.0394386035514873E-2</v>
      </c>
      <c r="F171">
        <v>180.75</v>
      </c>
      <c r="G171">
        <f t="shared" si="16"/>
        <v>-1.9793926247288533E-2</v>
      </c>
      <c r="H171">
        <v>176.76</v>
      </c>
      <c r="I171">
        <f t="shared" si="17"/>
        <v>0.13891752577319591</v>
      </c>
      <c r="J171">
        <v>161.38</v>
      </c>
      <c r="K171">
        <f t="shared" si="18"/>
        <v>1.5607300188797921E-2</v>
      </c>
      <c r="L171">
        <v>138.46</v>
      </c>
      <c r="M171">
        <f t="shared" si="19"/>
        <v>-1.170592433975722E-2</v>
      </c>
      <c r="N171">
        <v>60.02</v>
      </c>
      <c r="O171">
        <f t="shared" si="20"/>
        <v>8.9090603462767034E-3</v>
      </c>
      <c r="Q171">
        <v>0.28580948201602535</v>
      </c>
      <c r="R171">
        <v>4.0394386035514873E-2</v>
      </c>
      <c r="S171">
        <v>-1.9793926247288533E-2</v>
      </c>
      <c r="T171">
        <v>0.13891752577319591</v>
      </c>
      <c r="U171">
        <v>1.5607300188797921E-2</v>
      </c>
      <c r="V171">
        <v>-1.170592433975722E-2</v>
      </c>
      <c r="W171">
        <v>8.9090603462767034E-3</v>
      </c>
    </row>
    <row r="172" spans="1:23" x14ac:dyDescent="0.2">
      <c r="A172" s="1">
        <v>45379</v>
      </c>
      <c r="B172">
        <v>90.355999999999995</v>
      </c>
      <c r="C172">
        <f t="shared" si="14"/>
        <v>0.14212761654363434</v>
      </c>
      <c r="D172">
        <v>420.72</v>
      </c>
      <c r="E172">
        <f t="shared" si="15"/>
        <v>1.7116333043226094E-2</v>
      </c>
      <c r="F172">
        <v>171.48</v>
      </c>
      <c r="G172">
        <f t="shared" si="16"/>
        <v>-5.1286307053941965E-2</v>
      </c>
      <c r="H172">
        <v>180.38</v>
      </c>
      <c r="I172">
        <f t="shared" si="17"/>
        <v>2.0479746548993011E-2</v>
      </c>
      <c r="J172">
        <v>158.19</v>
      </c>
      <c r="K172">
        <f t="shared" si="18"/>
        <v>-1.9767009542694249E-2</v>
      </c>
      <c r="L172">
        <v>150.93</v>
      </c>
      <c r="M172">
        <f t="shared" si="19"/>
        <v>9.0062111801242226E-2</v>
      </c>
      <c r="N172">
        <v>61.18</v>
      </c>
      <c r="O172">
        <f t="shared" si="20"/>
        <v>1.9326891036321167E-2</v>
      </c>
      <c r="Q172">
        <v>0.14212761654363434</v>
      </c>
      <c r="R172">
        <v>1.7116333043226094E-2</v>
      </c>
      <c r="S172">
        <v>-5.1286307053941965E-2</v>
      </c>
      <c r="T172">
        <v>2.0479746548993011E-2</v>
      </c>
      <c r="U172">
        <v>-1.9767009542694249E-2</v>
      </c>
      <c r="V172">
        <v>9.0062111801242226E-2</v>
      </c>
      <c r="W172">
        <v>1.9326891036321167E-2</v>
      </c>
    </row>
    <row r="173" spans="1:23" x14ac:dyDescent="0.2">
      <c r="A173" s="1">
        <v>45412</v>
      </c>
      <c r="B173">
        <v>86.402000000000001</v>
      </c>
      <c r="C173">
        <f t="shared" si="14"/>
        <v>-4.3760237283633555E-2</v>
      </c>
      <c r="D173">
        <v>389.33</v>
      </c>
      <c r="E173">
        <f t="shared" si="15"/>
        <v>-7.4610192051720953E-2</v>
      </c>
      <c r="F173">
        <v>170.33</v>
      </c>
      <c r="G173">
        <f t="shared" si="16"/>
        <v>-6.7063214369021303E-3</v>
      </c>
      <c r="H173">
        <v>175</v>
      </c>
      <c r="I173">
        <f t="shared" si="17"/>
        <v>-2.9825923051336044E-2</v>
      </c>
      <c r="J173">
        <v>144.59</v>
      </c>
      <c r="K173">
        <f t="shared" si="18"/>
        <v>-8.5972564637461252E-2</v>
      </c>
      <c r="L173">
        <v>162.78</v>
      </c>
      <c r="M173">
        <f t="shared" si="19"/>
        <v>7.8513218048101727E-2</v>
      </c>
      <c r="N173">
        <v>61.77</v>
      </c>
      <c r="O173">
        <f t="shared" si="20"/>
        <v>9.64367440339986E-3</v>
      </c>
      <c r="Q173">
        <v>-4.3760237283633555E-2</v>
      </c>
      <c r="R173">
        <v>-7.4610192051720953E-2</v>
      </c>
      <c r="S173">
        <v>-6.7063214369021303E-3</v>
      </c>
      <c r="T173">
        <v>-2.9825923051336044E-2</v>
      </c>
      <c r="U173">
        <v>-8.5972564637461252E-2</v>
      </c>
      <c r="V173">
        <v>7.8513218048101727E-2</v>
      </c>
      <c r="W173">
        <v>9.64367440339986E-3</v>
      </c>
    </row>
    <row r="174" spans="1:23" x14ac:dyDescent="0.2">
      <c r="A174" s="1">
        <v>45443</v>
      </c>
      <c r="B174">
        <v>109.633</v>
      </c>
      <c r="C174">
        <f t="shared" si="14"/>
        <v>0.26887109094696876</v>
      </c>
      <c r="D174">
        <v>415.13</v>
      </c>
      <c r="E174">
        <f t="shared" si="15"/>
        <v>6.6267690648036406E-2</v>
      </c>
      <c r="F174">
        <v>192.25</v>
      </c>
      <c r="G174">
        <f t="shared" si="16"/>
        <v>0.1286913638231667</v>
      </c>
      <c r="H174">
        <v>176.44</v>
      </c>
      <c r="I174">
        <f t="shared" si="17"/>
        <v>8.228571428571415E-3</v>
      </c>
      <c r="J174">
        <v>146.66999999999999</v>
      </c>
      <c r="K174">
        <f t="shared" si="18"/>
        <v>1.4385503838439615E-2</v>
      </c>
      <c r="L174">
        <v>172.5</v>
      </c>
      <c r="M174">
        <f t="shared" si="19"/>
        <v>5.9712495392554361E-2</v>
      </c>
      <c r="N174">
        <v>62.93</v>
      </c>
      <c r="O174">
        <f t="shared" si="20"/>
        <v>1.877934272300464E-2</v>
      </c>
      <c r="Q174">
        <v>0.26887109094696876</v>
      </c>
      <c r="R174">
        <v>6.6267690648036406E-2</v>
      </c>
      <c r="S174">
        <v>0.1286913638231667</v>
      </c>
      <c r="T174">
        <v>8.228571428571415E-3</v>
      </c>
      <c r="U174">
        <v>1.4385503838439615E-2</v>
      </c>
      <c r="V174">
        <v>5.9712495392554361E-2</v>
      </c>
      <c r="W174">
        <v>1.877934272300464E-2</v>
      </c>
    </row>
    <row r="175" spans="1:23" x14ac:dyDescent="0.2">
      <c r="A175" s="1">
        <v>45471</v>
      </c>
      <c r="B175">
        <v>123.54</v>
      </c>
      <c r="C175">
        <f t="shared" si="14"/>
        <v>0.12685049209635796</v>
      </c>
      <c r="D175">
        <v>446.95</v>
      </c>
      <c r="E175">
        <f t="shared" si="15"/>
        <v>7.6650687736371723E-2</v>
      </c>
      <c r="F175">
        <v>210.62</v>
      </c>
      <c r="G175">
        <f t="shared" si="16"/>
        <v>9.555266579973995E-2</v>
      </c>
      <c r="H175">
        <v>193.25</v>
      </c>
      <c r="I175">
        <f t="shared" si="17"/>
        <v>9.5273180684652015E-2</v>
      </c>
      <c r="J175">
        <v>146.16</v>
      </c>
      <c r="K175">
        <f t="shared" si="18"/>
        <v>-3.477193700143117E-3</v>
      </c>
      <c r="L175">
        <v>182.15</v>
      </c>
      <c r="M175">
        <f t="shared" si="19"/>
        <v>5.5942028985507278E-2</v>
      </c>
      <c r="N175">
        <v>63.65</v>
      </c>
      <c r="O175">
        <f t="shared" si="20"/>
        <v>1.1441283966311756E-2</v>
      </c>
      <c r="Q175">
        <v>0.12685049209635796</v>
      </c>
      <c r="R175">
        <v>7.6650687736371723E-2</v>
      </c>
      <c r="S175">
        <v>9.555266579973995E-2</v>
      </c>
      <c r="T175">
        <v>9.5273180684652015E-2</v>
      </c>
      <c r="U175">
        <v>-3.477193700143117E-3</v>
      </c>
      <c r="V175">
        <v>5.5942028985507278E-2</v>
      </c>
      <c r="W175">
        <v>1.1441283966311756E-2</v>
      </c>
    </row>
    <row r="176" spans="1:23" x14ac:dyDescent="0.2">
      <c r="A176" s="1">
        <v>45504</v>
      </c>
      <c r="B176">
        <v>117.02</v>
      </c>
      <c r="C176">
        <f t="shared" si="14"/>
        <v>-5.2776428687064995E-2</v>
      </c>
      <c r="D176">
        <v>418.35</v>
      </c>
      <c r="E176">
        <f t="shared" si="15"/>
        <v>-6.3989260543684895E-2</v>
      </c>
      <c r="F176">
        <v>222.08</v>
      </c>
      <c r="G176">
        <f t="shared" si="16"/>
        <v>5.4410787199696171E-2</v>
      </c>
      <c r="H176">
        <v>186.98</v>
      </c>
      <c r="I176">
        <f t="shared" si="17"/>
        <v>-3.2445019404915967E-2</v>
      </c>
      <c r="J176">
        <v>157.85</v>
      </c>
      <c r="K176">
        <f t="shared" si="18"/>
        <v>7.9980842911877376E-2</v>
      </c>
      <c r="L176">
        <v>171.54</v>
      </c>
      <c r="M176">
        <f t="shared" si="19"/>
        <v>-5.8248696129563619E-2</v>
      </c>
      <c r="N176">
        <v>66.739999999999995</v>
      </c>
      <c r="O176">
        <f t="shared" si="20"/>
        <v>4.8546739984289024E-2</v>
      </c>
      <c r="Q176">
        <v>-5.2776428687064995E-2</v>
      </c>
      <c r="R176">
        <v>-6.3989260543684895E-2</v>
      </c>
      <c r="S176">
        <v>5.4410787199696171E-2</v>
      </c>
      <c r="T176">
        <v>-3.2445019404915967E-2</v>
      </c>
      <c r="U176">
        <v>7.9980842911877376E-2</v>
      </c>
      <c r="V176">
        <v>-5.8248696129563619E-2</v>
      </c>
      <c r="W176">
        <v>4.8546739984289024E-2</v>
      </c>
    </row>
    <row r="177" spans="1:23" x14ac:dyDescent="0.2">
      <c r="A177" s="1">
        <v>45534</v>
      </c>
      <c r="B177">
        <v>119.37</v>
      </c>
      <c r="C177">
        <f t="shared" si="14"/>
        <v>2.0082037258588349E-2</v>
      </c>
      <c r="D177">
        <v>417.14</v>
      </c>
      <c r="E177">
        <f t="shared" si="15"/>
        <v>-2.8923150472093613E-3</v>
      </c>
      <c r="F177">
        <v>229</v>
      </c>
      <c r="G177">
        <f t="shared" si="16"/>
        <v>3.1159942363112335E-2</v>
      </c>
      <c r="H177">
        <v>178.5</v>
      </c>
      <c r="I177">
        <f t="shared" si="17"/>
        <v>-4.5352444111669644E-2</v>
      </c>
      <c r="J177">
        <v>165.86</v>
      </c>
      <c r="K177">
        <f t="shared" si="18"/>
        <v>5.0744377573645992E-2</v>
      </c>
      <c r="L177">
        <v>163.38</v>
      </c>
      <c r="M177">
        <f t="shared" si="19"/>
        <v>-4.7569080097936325E-2</v>
      </c>
      <c r="N177">
        <v>72.47</v>
      </c>
      <c r="O177">
        <f t="shared" si="20"/>
        <v>8.5855558885226321E-2</v>
      </c>
      <c r="Q177">
        <v>2.0082037258588349E-2</v>
      </c>
      <c r="R177">
        <v>-2.8923150472093613E-3</v>
      </c>
      <c r="S177">
        <v>3.1159942363112335E-2</v>
      </c>
      <c r="T177">
        <v>-4.5352444111669644E-2</v>
      </c>
      <c r="U177">
        <v>5.0744377573645992E-2</v>
      </c>
      <c r="V177">
        <v>-4.7569080097936325E-2</v>
      </c>
      <c r="W177">
        <v>8.5855558885226321E-2</v>
      </c>
    </row>
    <row r="178" spans="1:23" x14ac:dyDescent="0.2">
      <c r="A178" s="1">
        <v>45565</v>
      </c>
      <c r="B178">
        <v>121.44</v>
      </c>
      <c r="C178">
        <f t="shared" si="14"/>
        <v>1.7341040462427688E-2</v>
      </c>
      <c r="D178">
        <v>430.3</v>
      </c>
      <c r="E178">
        <f t="shared" si="15"/>
        <v>3.1548161288776008E-2</v>
      </c>
      <c r="F178">
        <v>233</v>
      </c>
      <c r="G178">
        <f t="shared" si="16"/>
        <v>1.7467248908296942E-2</v>
      </c>
      <c r="H178">
        <v>186.33</v>
      </c>
      <c r="I178">
        <f t="shared" si="17"/>
        <v>4.3865546218487463E-2</v>
      </c>
      <c r="J178">
        <v>162.06</v>
      </c>
      <c r="K178">
        <f t="shared" si="18"/>
        <v>-2.2910888701314427E-2</v>
      </c>
      <c r="L178">
        <v>165.85</v>
      </c>
      <c r="M178">
        <f t="shared" si="19"/>
        <v>1.5118129514016396E-2</v>
      </c>
      <c r="N178">
        <v>71.86</v>
      </c>
      <c r="O178">
        <f t="shared" si="20"/>
        <v>-8.4172761142541665E-3</v>
      </c>
      <c r="Q178">
        <v>1.7341040462427688E-2</v>
      </c>
      <c r="R178">
        <v>3.1548161288776008E-2</v>
      </c>
      <c r="S178">
        <v>1.7467248908296942E-2</v>
      </c>
      <c r="T178">
        <v>4.3865546218487463E-2</v>
      </c>
      <c r="U178">
        <v>-2.2910888701314427E-2</v>
      </c>
      <c r="V178">
        <v>1.5118129514016396E-2</v>
      </c>
      <c r="W178">
        <v>-8.4172761142541665E-3</v>
      </c>
    </row>
    <row r="179" spans="1:23" x14ac:dyDescent="0.2">
      <c r="A179" s="1">
        <v>45596</v>
      </c>
      <c r="B179">
        <v>132.76</v>
      </c>
      <c r="C179">
        <f t="shared" si="14"/>
        <v>9.3214756258234471E-2</v>
      </c>
      <c r="D179">
        <v>406.35</v>
      </c>
      <c r="E179">
        <f t="shared" si="15"/>
        <v>-5.5658842667906085E-2</v>
      </c>
      <c r="F179">
        <v>225.91</v>
      </c>
      <c r="G179">
        <f t="shared" si="16"/>
        <v>-3.0429184549356239E-2</v>
      </c>
      <c r="H179">
        <v>186.4</v>
      </c>
      <c r="I179">
        <f t="shared" si="17"/>
        <v>3.7567756131590818E-4</v>
      </c>
      <c r="J179">
        <v>159.86000000000001</v>
      </c>
      <c r="K179">
        <f t="shared" si="18"/>
        <v>-1.357521905467104E-2</v>
      </c>
      <c r="L179">
        <v>171.11</v>
      </c>
      <c r="M179">
        <f t="shared" si="19"/>
        <v>3.171540548688586E-2</v>
      </c>
      <c r="N179">
        <v>65.31</v>
      </c>
      <c r="O179">
        <f t="shared" si="20"/>
        <v>-9.1149457278040594E-2</v>
      </c>
      <c r="Q179">
        <v>9.3214756258234471E-2</v>
      </c>
      <c r="R179">
        <v>-5.5658842667906085E-2</v>
      </c>
      <c r="S179">
        <v>-3.0429184549356239E-2</v>
      </c>
      <c r="T179">
        <v>3.7567756131590818E-4</v>
      </c>
      <c r="U179">
        <v>-1.357521905467104E-2</v>
      </c>
      <c r="V179">
        <v>3.171540548688586E-2</v>
      </c>
      <c r="W179">
        <v>-9.1149457278040594E-2</v>
      </c>
    </row>
    <row r="180" spans="1:23" x14ac:dyDescent="0.2">
      <c r="A180" s="1">
        <v>45625</v>
      </c>
      <c r="B180">
        <v>138.25</v>
      </c>
      <c r="C180">
        <f t="shared" si="14"/>
        <v>4.13528171135885E-2</v>
      </c>
      <c r="D180">
        <v>423.46</v>
      </c>
      <c r="E180">
        <f t="shared" si="15"/>
        <v>4.2106558385628046E-2</v>
      </c>
      <c r="F180">
        <v>237.33</v>
      </c>
      <c r="G180">
        <f t="shared" si="16"/>
        <v>5.0551104422115072E-2</v>
      </c>
      <c r="H180">
        <v>207.89</v>
      </c>
      <c r="I180">
        <f t="shared" si="17"/>
        <v>0.11528969957081535</v>
      </c>
      <c r="J180">
        <v>155.01</v>
      </c>
      <c r="K180">
        <f t="shared" si="18"/>
        <v>-3.0339046665832745E-2</v>
      </c>
      <c r="L180">
        <v>168.95</v>
      </c>
      <c r="M180">
        <f t="shared" si="19"/>
        <v>-1.2623458593887119E-2</v>
      </c>
      <c r="N180">
        <v>64.08</v>
      </c>
      <c r="O180">
        <f t="shared" si="20"/>
        <v>-1.8833256775379021E-2</v>
      </c>
      <c r="Q180">
        <v>4.13528171135885E-2</v>
      </c>
      <c r="R180">
        <v>4.2106558385628046E-2</v>
      </c>
      <c r="S180">
        <v>5.0551104422115072E-2</v>
      </c>
      <c r="T180">
        <v>0.11528969957081535</v>
      </c>
      <c r="U180">
        <v>-3.0339046665832745E-2</v>
      </c>
      <c r="V180">
        <v>-1.2623458593887119E-2</v>
      </c>
      <c r="W180">
        <v>-1.8833256775379021E-2</v>
      </c>
    </row>
    <row r="181" spans="1:23" x14ac:dyDescent="0.2">
      <c r="A181" s="1">
        <v>45657</v>
      </c>
      <c r="B181">
        <v>134.29</v>
      </c>
      <c r="C181">
        <f t="shared" si="14"/>
        <v>-2.8643761301989208E-2</v>
      </c>
      <c r="D181">
        <v>421.5</v>
      </c>
      <c r="E181">
        <f t="shared" si="15"/>
        <v>-4.6285363434562408E-3</v>
      </c>
      <c r="F181">
        <v>250.42</v>
      </c>
      <c r="G181">
        <f t="shared" si="16"/>
        <v>5.5155269034677344E-2</v>
      </c>
      <c r="H181">
        <v>219.39</v>
      </c>
      <c r="I181">
        <f t="shared" si="17"/>
        <v>5.5317716099860505E-2</v>
      </c>
      <c r="J181">
        <v>144.62</v>
      </c>
      <c r="K181">
        <f t="shared" si="18"/>
        <v>-6.7027933681697877E-2</v>
      </c>
      <c r="L181">
        <v>189.3</v>
      </c>
      <c r="M181">
        <f t="shared" si="19"/>
        <v>0.12044983722994983</v>
      </c>
      <c r="N181">
        <v>62.26</v>
      </c>
      <c r="O181">
        <f t="shared" si="20"/>
        <v>-2.8401997503121106E-2</v>
      </c>
      <c r="Q181">
        <v>-2.8643761301989208E-2</v>
      </c>
      <c r="R181">
        <v>-4.6285363434562408E-3</v>
      </c>
      <c r="S181">
        <v>5.5155269034677344E-2</v>
      </c>
      <c r="T181">
        <v>5.5317716099860505E-2</v>
      </c>
      <c r="U181">
        <v>-6.7027933681697877E-2</v>
      </c>
      <c r="V181">
        <v>0.12044983722994983</v>
      </c>
      <c r="W181">
        <v>-2.8401997503121106E-2</v>
      </c>
    </row>
    <row r="182" spans="1:23" x14ac:dyDescent="0.2">
      <c r="A182" s="1">
        <v>45688</v>
      </c>
      <c r="B182">
        <v>120.07</v>
      </c>
      <c r="C182">
        <f t="shared" si="14"/>
        <v>-0.10589023754561025</v>
      </c>
      <c r="D182">
        <v>415.06</v>
      </c>
      <c r="E182">
        <f t="shared" si="15"/>
        <v>-1.5278766310794775E-2</v>
      </c>
      <c r="F182">
        <v>236</v>
      </c>
      <c r="G182">
        <f t="shared" si="16"/>
        <v>-5.7583260122993321E-2</v>
      </c>
      <c r="H182">
        <v>237.68</v>
      </c>
      <c r="I182">
        <f t="shared" si="17"/>
        <v>8.3367519030037932E-2</v>
      </c>
      <c r="J182">
        <v>152.15</v>
      </c>
      <c r="K182">
        <f t="shared" si="18"/>
        <v>5.2067487207855076E-2</v>
      </c>
      <c r="L182">
        <v>204.02</v>
      </c>
      <c r="M182">
        <f t="shared" si="19"/>
        <v>7.7760169043845737E-2</v>
      </c>
      <c r="N182">
        <v>63.48</v>
      </c>
      <c r="O182">
        <f t="shared" si="20"/>
        <v>1.959524574365562E-2</v>
      </c>
      <c r="Q182">
        <v>-0.10589023754561025</v>
      </c>
      <c r="R182">
        <v>-1.5278766310794775E-2</v>
      </c>
      <c r="S182">
        <v>-5.7583260122993321E-2</v>
      </c>
      <c r="T182">
        <v>8.3367519030037932E-2</v>
      </c>
      <c r="U182">
        <v>5.2067487207855076E-2</v>
      </c>
      <c r="V182">
        <v>7.7760169043845737E-2</v>
      </c>
      <c r="W182">
        <v>1.959524574365562E-2</v>
      </c>
    </row>
    <row r="183" spans="1:23" x14ac:dyDescent="0.2">
      <c r="A183" s="1">
        <v>45716</v>
      </c>
      <c r="B183">
        <v>124.92</v>
      </c>
      <c r="C183">
        <f t="shared" si="14"/>
        <v>4.0393104022653524E-2</v>
      </c>
      <c r="D183">
        <v>396.99</v>
      </c>
      <c r="E183">
        <f t="shared" si="15"/>
        <v>-4.3535874331421948E-2</v>
      </c>
      <c r="F183">
        <v>241.84</v>
      </c>
      <c r="G183">
        <f t="shared" si="16"/>
        <v>2.4745762711864423E-2</v>
      </c>
      <c r="H183">
        <v>212.28</v>
      </c>
      <c r="I183">
        <f t="shared" si="17"/>
        <v>-0.10686637495792664</v>
      </c>
      <c r="J183">
        <v>165.02</v>
      </c>
      <c r="K183">
        <f t="shared" si="18"/>
        <v>8.4587578047978992E-2</v>
      </c>
      <c r="L183">
        <v>170.28</v>
      </c>
      <c r="M183">
        <f t="shared" si="19"/>
        <v>-0.16537594353494758</v>
      </c>
      <c r="N183">
        <v>71.209999999999994</v>
      </c>
      <c r="O183">
        <f t="shared" si="20"/>
        <v>0.12177063642091993</v>
      </c>
      <c r="Q183">
        <v>4.0393104022653524E-2</v>
      </c>
      <c r="R183">
        <v>-4.3535874331421948E-2</v>
      </c>
      <c r="S183">
        <v>2.4745762711864423E-2</v>
      </c>
      <c r="T183">
        <v>-0.10686637495792664</v>
      </c>
      <c r="U183">
        <v>8.4587578047978992E-2</v>
      </c>
      <c r="V183">
        <v>-0.16537594353494758</v>
      </c>
      <c r="W183">
        <v>0.12177063642091993</v>
      </c>
    </row>
    <row r="184" spans="1:23" x14ac:dyDescent="0.2">
      <c r="A184" s="1">
        <v>45747</v>
      </c>
      <c r="B184">
        <v>108.38</v>
      </c>
      <c r="C184">
        <f t="shared" si="14"/>
        <v>-0.13240473903298117</v>
      </c>
      <c r="D184">
        <v>375.39</v>
      </c>
      <c r="E184">
        <f t="shared" si="15"/>
        <v>-5.4409430968034515E-2</v>
      </c>
      <c r="F184">
        <v>222.13</v>
      </c>
      <c r="G184">
        <f t="shared" si="16"/>
        <v>-8.1500165398610686E-2</v>
      </c>
      <c r="H184">
        <v>190.26</v>
      </c>
      <c r="I184">
        <f t="shared" si="17"/>
        <v>-0.10373092142453368</v>
      </c>
      <c r="J184">
        <v>165.84</v>
      </c>
      <c r="K184">
        <f t="shared" si="18"/>
        <v>4.969094655193268E-3</v>
      </c>
      <c r="L184">
        <v>154.63999999999999</v>
      </c>
      <c r="M184">
        <f t="shared" si="19"/>
        <v>-9.1848719755696584E-2</v>
      </c>
      <c r="N184">
        <v>71.62</v>
      </c>
      <c r="O184">
        <f t="shared" si="20"/>
        <v>5.7576183120349785E-3</v>
      </c>
      <c r="Q184">
        <v>-0.13240473903298117</v>
      </c>
      <c r="R184">
        <v>-5.4409430968034515E-2</v>
      </c>
      <c r="S184">
        <v>-8.1500165398610686E-2</v>
      </c>
      <c r="T184">
        <v>-0.10373092142453368</v>
      </c>
      <c r="U184">
        <v>4.969094655193268E-3</v>
      </c>
      <c r="V184">
        <v>-9.1848719755696584E-2</v>
      </c>
      <c r="W184">
        <v>5.7576183120349785E-3</v>
      </c>
    </row>
    <row r="185" spans="1:23" x14ac:dyDescent="0.2">
      <c r="A185" s="1">
        <v>45777</v>
      </c>
      <c r="B185">
        <v>108.92</v>
      </c>
      <c r="C185">
        <f t="shared" si="14"/>
        <v>4.9824690902381093E-3</v>
      </c>
      <c r="D185">
        <v>395.26</v>
      </c>
      <c r="E185">
        <f t="shared" si="15"/>
        <v>5.2931617784171145E-2</v>
      </c>
      <c r="F185">
        <v>212.5</v>
      </c>
      <c r="G185">
        <f t="shared" si="16"/>
        <v>-4.3352991491468942E-2</v>
      </c>
      <c r="H185">
        <v>184.42</v>
      </c>
      <c r="I185">
        <f t="shared" si="17"/>
        <v>-3.069483864185853E-2</v>
      </c>
      <c r="J185">
        <v>156.31</v>
      </c>
      <c r="K185">
        <f t="shared" si="18"/>
        <v>-5.7465026531596727E-2</v>
      </c>
      <c r="L185">
        <v>158.80000000000001</v>
      </c>
      <c r="M185">
        <f t="shared" si="19"/>
        <v>2.6901189860320911E-2</v>
      </c>
      <c r="N185">
        <v>72.55</v>
      </c>
      <c r="O185">
        <f t="shared" si="20"/>
        <v>1.2985199664897969E-2</v>
      </c>
      <c r="Q185">
        <v>4.9824690902381093E-3</v>
      </c>
      <c r="R185">
        <v>5.2931617784171145E-2</v>
      </c>
      <c r="S185">
        <v>-4.3352991491468942E-2</v>
      </c>
      <c r="T185">
        <v>-3.069483864185853E-2</v>
      </c>
      <c r="U185">
        <v>-5.7465026531596727E-2</v>
      </c>
      <c r="V185">
        <v>2.6901189860320911E-2</v>
      </c>
      <c r="W185">
        <v>1.2985199664897969E-2</v>
      </c>
    </row>
    <row r="186" spans="1:23" x14ac:dyDescent="0.2">
      <c r="A186" s="1">
        <v>45807</v>
      </c>
      <c r="B186">
        <v>135.13</v>
      </c>
      <c r="C186">
        <f t="shared" si="14"/>
        <v>0.24063532868160112</v>
      </c>
      <c r="D186">
        <v>460.36</v>
      </c>
      <c r="E186">
        <f t="shared" si="15"/>
        <v>0.16470171532662051</v>
      </c>
      <c r="F186">
        <v>200.85</v>
      </c>
      <c r="G186">
        <f t="shared" si="16"/>
        <v>-5.4823529411764729E-2</v>
      </c>
      <c r="H186">
        <v>205.01</v>
      </c>
      <c r="I186">
        <f t="shared" si="17"/>
        <v>0.11164732675414817</v>
      </c>
      <c r="J186">
        <v>155.21</v>
      </c>
      <c r="K186">
        <f t="shared" si="18"/>
        <v>-7.0372976776917296E-3</v>
      </c>
      <c r="L186">
        <v>171.74</v>
      </c>
      <c r="M186">
        <f t="shared" si="19"/>
        <v>8.148614609571786E-2</v>
      </c>
      <c r="N186">
        <v>72.099999999999994</v>
      </c>
      <c r="O186">
        <f t="shared" si="20"/>
        <v>-6.20261888352864E-3</v>
      </c>
      <c r="Q186">
        <v>0.24063532868160112</v>
      </c>
      <c r="R186">
        <v>0.16470171532662051</v>
      </c>
      <c r="S186">
        <v>-5.4823529411764729E-2</v>
      </c>
      <c r="T186">
        <v>0.11164732675414817</v>
      </c>
      <c r="U186">
        <v>-7.0372976776917296E-3</v>
      </c>
      <c r="V186">
        <v>8.148614609571786E-2</v>
      </c>
      <c r="W186">
        <v>-6.20261888352864E-3</v>
      </c>
    </row>
    <row r="187" spans="1:23" x14ac:dyDescent="0.2">
      <c r="A187" s="1">
        <v>45838</v>
      </c>
      <c r="B187">
        <v>157.99</v>
      </c>
      <c r="C187">
        <f t="shared" si="14"/>
        <v>0.16917042847628219</v>
      </c>
      <c r="D187">
        <v>497.41</v>
      </c>
      <c r="E187">
        <f t="shared" si="15"/>
        <v>8.0480493526805127E-2</v>
      </c>
      <c r="F187">
        <v>205.17</v>
      </c>
      <c r="G187">
        <f t="shared" si="16"/>
        <v>2.1508588498879728E-2</v>
      </c>
      <c r="H187">
        <v>219.39</v>
      </c>
      <c r="I187">
        <f t="shared" si="17"/>
        <v>7.0142919857567904E-2</v>
      </c>
      <c r="J187">
        <v>152.75</v>
      </c>
      <c r="K187">
        <f t="shared" si="18"/>
        <v>-1.5849494233619019E-2</v>
      </c>
      <c r="L187">
        <v>176.23</v>
      </c>
      <c r="M187">
        <f t="shared" si="19"/>
        <v>2.6144171421916738E-2</v>
      </c>
      <c r="N187">
        <v>70.75</v>
      </c>
      <c r="O187">
        <f t="shared" si="20"/>
        <v>-1.8723994452149714E-2</v>
      </c>
      <c r="Q187">
        <v>0.16917042847628219</v>
      </c>
      <c r="R187">
        <v>8.0480493526805127E-2</v>
      </c>
      <c r="S187">
        <v>2.1508588498879728E-2</v>
      </c>
      <c r="T187">
        <v>7.0142919857567904E-2</v>
      </c>
      <c r="U187">
        <v>-1.5849494233619019E-2</v>
      </c>
      <c r="V187">
        <v>2.6144171421916738E-2</v>
      </c>
      <c r="W187">
        <v>-1.8723994452149714E-2</v>
      </c>
    </row>
    <row r="188" spans="1:23" x14ac:dyDescent="0.2">
      <c r="A188" s="1">
        <v>45869</v>
      </c>
      <c r="B188">
        <v>177.87</v>
      </c>
      <c r="C188">
        <f t="shared" si="14"/>
        <v>0.12583074878156841</v>
      </c>
      <c r="D188">
        <v>533.5</v>
      </c>
      <c r="E188">
        <f t="shared" si="15"/>
        <v>7.2555839247300968E-2</v>
      </c>
      <c r="F188">
        <v>207.57</v>
      </c>
      <c r="G188">
        <f t="shared" si="16"/>
        <v>1.1697616610615616E-2</v>
      </c>
      <c r="H188">
        <v>234.11</v>
      </c>
      <c r="I188">
        <f t="shared" si="17"/>
        <v>6.7095127398696511E-2</v>
      </c>
      <c r="J188">
        <v>164.74</v>
      </c>
      <c r="K188">
        <f t="shared" si="18"/>
        <v>7.8494271685761105E-2</v>
      </c>
      <c r="L188">
        <v>191.9</v>
      </c>
      <c r="M188">
        <f t="shared" si="19"/>
        <v>8.8917891391931098E-2</v>
      </c>
      <c r="N188">
        <v>67.89</v>
      </c>
      <c r="O188">
        <f t="shared" si="20"/>
        <v>-4.0424028268551231E-2</v>
      </c>
      <c r="Q188">
        <v>0.12583074878156841</v>
      </c>
      <c r="R188">
        <v>7.2555839247300968E-2</v>
      </c>
      <c r="S188">
        <v>1.1697616610615616E-2</v>
      </c>
      <c r="T188">
        <v>6.7095127398696511E-2</v>
      </c>
      <c r="U188">
        <v>7.8494271685761105E-2</v>
      </c>
      <c r="V188">
        <v>8.8917891391931098E-2</v>
      </c>
      <c r="W188">
        <v>-4.0424028268551231E-2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Assignment 2</vt:lpstr>
      <vt:lpstr>Main Data</vt:lpstr>
    </vt:vector>
  </TitlesOfParts>
  <Company>PricewaterhouseCoopers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 Oehme (DE)</dc:creator>
  <cp:lastModifiedBy>Christian Joli</cp:lastModifiedBy>
  <dcterms:created xsi:type="dcterms:W3CDTF">2025-09-29T13:04:20Z</dcterms:created>
  <dcterms:modified xsi:type="dcterms:W3CDTF">2025-11-09T14:23:47Z</dcterms:modified>
</cp:coreProperties>
</file>